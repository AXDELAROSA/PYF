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1.Tomza_HGF\TI_TecnologiaInformacion\2.Soluciones_TTi\PYF18_Finanzas\4.Construccion\CodigoSQL\PYF18_Liberacion_R0.00_Base_V0038b\Scripts_R800_AUT\"/>
    </mc:Choice>
  </mc:AlternateContent>
  <bookViews>
    <workbookView xWindow="0" yWindow="0" windowWidth="20496" windowHeight="7620" activeTab="1"/>
  </bookViews>
  <sheets>
    <sheet name="TABLA" sheetId="2" r:id="rId1"/>
    <sheet name="CI_AUTORIZACION" sheetId="1" r:id="rId2"/>
  </sheets>
  <definedNames>
    <definedName name="_xlnm._FilterDatabase" localSheetId="1" hidden="1">CI_AUTORIZACION!$A$2:$AQ$6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1" l="1"/>
  <c r="L16" i="1"/>
  <c r="L15" i="1"/>
  <c r="I17" i="1"/>
  <c r="I16" i="1"/>
  <c r="I15" i="1"/>
  <c r="I14" i="1"/>
  <c r="AO2" i="1" l="1"/>
  <c r="AQ2" i="1" l="1"/>
  <c r="AN17" i="1" l="1"/>
  <c r="AN16" i="1"/>
  <c r="AN15" i="1"/>
  <c r="AN14" i="1"/>
  <c r="AN5" i="1"/>
  <c r="AN6" i="1"/>
  <c r="AN7" i="1"/>
  <c r="AN8" i="1"/>
  <c r="AN9" i="1"/>
  <c r="AN4" i="1"/>
  <c r="AN10" i="1"/>
  <c r="AN3" i="1"/>
</calcChain>
</file>

<file path=xl/sharedStrings.xml><?xml version="1.0" encoding="utf-8"?>
<sst xmlns="http://schemas.openxmlformats.org/spreadsheetml/2006/main" count="163" uniqueCount="82">
  <si>
    <t>L_DEBUG</t>
  </si>
  <si>
    <t>K_SISTEMA_EXE</t>
  </si>
  <si>
    <t>K_USUARIO_ACCION</t>
  </si>
  <si>
    <t>X</t>
  </si>
  <si>
    <t>Tipo Dato</t>
  </si>
  <si>
    <t>Noombre Campo</t>
  </si>
  <si>
    <t>PK</t>
  </si>
  <si>
    <t xml:space="preserve">] </t>
  </si>
  <si>
    <t>-</t>
  </si>
  <si>
    <t>???</t>
  </si>
  <si>
    <t>EXECUTE [dbo].[PG_CI_</t>
  </si>
  <si>
    <t>[K_AUTORIZACION]</t>
  </si>
  <si>
    <t>[D_AUTORIZACION]</t>
  </si>
  <si>
    <t>[S_AUTORIZACION]</t>
  </si>
  <si>
    <t>[C_AUTORIZACION]</t>
  </si>
  <si>
    <t>[K_ESTATUS_AUTORIZACION]</t>
  </si>
  <si>
    <t>[K_TIPO_AUTORIZACION]</t>
  </si>
  <si>
    <t>[LIMITE_INFERIOR]</t>
  </si>
  <si>
    <t>[LIMITE_SUPERIOR]</t>
  </si>
  <si>
    <t>[K_MODO_AUTORIZACION_P1]</t>
  </si>
  <si>
    <t>[N_DIAS_AUTORIZACION_P1]</t>
  </si>
  <si>
    <t>[K_ROL_AUTORIZACION_P1A]</t>
  </si>
  <si>
    <t>[K_ROL_AUTORIZACION_P1B]</t>
  </si>
  <si>
    <t>[K_ROL_AUTORIZACION_P1C]</t>
  </si>
  <si>
    <t>[K_MODO_AUTORIZACION_P2]</t>
  </si>
  <si>
    <t>[N_DIAS_AUTORIZACION_P2]</t>
  </si>
  <si>
    <t>[K_ROL_AUTORIZACION_P2A]</t>
  </si>
  <si>
    <t>[K_ROL_AUTORIZACION_P2B]</t>
  </si>
  <si>
    <t>[K_ROL_AUTORIZACION_P2C]</t>
  </si>
  <si>
    <t>[K_MODO_AUTORIZACION_P3]</t>
  </si>
  <si>
    <t>[N_DIAS_AUTORIZACION_P3]</t>
  </si>
  <si>
    <t>[K_ROL_AUTORIZACION_P3A]</t>
  </si>
  <si>
    <t>[K_ROL_AUTORIZACION_P3B]</t>
  </si>
  <si>
    <t>[K_ROL_AUTORIZACION_P3C]</t>
  </si>
  <si>
    <t>[K_MODO_AUTORIZACION_P4]</t>
  </si>
  <si>
    <t>[N_DIAS_AUTORIZACION_P4]</t>
  </si>
  <si>
    <t>[K_ROL_AUTORIZACION_P4A]</t>
  </si>
  <si>
    <t>[K_ROL_AUTORIZACION_P4B]</t>
  </si>
  <si>
    <t>[K_ROL_AUTORIZACION_P4C]</t>
  </si>
  <si>
    <t>[K_MODO_AUTORIZACION_P5]</t>
  </si>
  <si>
    <t>[N_DIAS_AUTORIZACION_P5]</t>
  </si>
  <si>
    <t>[K_ROL_AUTORIZACION_P5A]</t>
  </si>
  <si>
    <t>[K_ROL_AUTORIZACION_P5B]</t>
  </si>
  <si>
    <t>[K_ROL_AUTORIZACION_P5C]</t>
  </si>
  <si>
    <t>INT</t>
  </si>
  <si>
    <t>VARCHAR(100)</t>
  </si>
  <si>
    <t>VARCHAR(10)</t>
  </si>
  <si>
    <t>VARCHAR(500)</t>
  </si>
  <si>
    <t>DECIMAL(19,4)</t>
  </si>
  <si>
    <t>AUTORIZACION</t>
  </si>
  <si>
    <t>LIC. F ROBLES</t>
  </si>
  <si>
    <t>LIC. O GONZALEZ</t>
  </si>
  <si>
    <t>TESORERIA</t>
  </si>
  <si>
    <t>FINANCIAMIENTO</t>
  </si>
  <si>
    <t>PLANEACIÓN</t>
  </si>
  <si>
    <t>EGRESOS</t>
  </si>
  <si>
    <t>RECURSOS HUMANOS</t>
  </si>
  <si>
    <t>OGLEZ</t>
  </si>
  <si>
    <t>FNCIM</t>
  </si>
  <si>
    <t>FROBL</t>
  </si>
  <si>
    <t>TESOR</t>
  </si>
  <si>
    <t>PLANE</t>
  </si>
  <si>
    <t>EGRSO</t>
  </si>
  <si>
    <t>RH.RH</t>
  </si>
  <si>
    <t>QA   //  LIC. F ROBLES</t>
  </si>
  <si>
    <t>QA   //  LIC. O GONZALEZ</t>
  </si>
  <si>
    <t>QA   //  TESORERIA</t>
  </si>
  <si>
    <t>QA   //  FINANCIAMIENTO</t>
  </si>
  <si>
    <t>QA   //  PLANEACIÓN</t>
  </si>
  <si>
    <t>QA   //  EGRESOS</t>
  </si>
  <si>
    <t>QA   //  RECURSOS HUMANOS</t>
  </si>
  <si>
    <t>[O_AUTORIZACION]</t>
  </si>
  <si>
    <t>EXT</t>
  </si>
  <si>
    <t>PASO 1</t>
  </si>
  <si>
    <t>PASO 2</t>
  </si>
  <si>
    <t>PASO 3</t>
  </si>
  <si>
    <t>PASO 4</t>
  </si>
  <si>
    <t>PASO 5</t>
  </si>
  <si>
    <t>RECURSO-PLANTA / 25$EXTRA</t>
  </si>
  <si>
    <t>RECURSO-PLANTA / 50$EXTRA</t>
  </si>
  <si>
    <t>RECURSO-PLANTA / 100$EXTRA</t>
  </si>
  <si>
    <t>RECURSO-PLANTA / +100$EXTRA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</si>
</sst>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i/>
      <sz val="9"/>
      <color rgb="FF00B05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i/>
      <sz val="9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7" fillId="0" borderId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0" borderId="0"/>
    <xf numFmtId="44" fontId="14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/>
    <xf numFmtId="0" fontId="6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10" fillId="2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3" borderId="0" xfId="0" applyFill="1" applyAlignment="1">
      <alignment horizontal="left"/>
    </xf>
    <xf numFmtId="2" fontId="4" fillId="0" borderId="0" xfId="0" quotePrefix="1" applyNumberFormat="1" applyFont="1" applyAlignment="1">
      <alignment horizontal="left" vertical="center"/>
    </xf>
    <xf numFmtId="2" fontId="4" fillId="0" borderId="0" xfId="0" quotePrefix="1" applyNumberFormat="1" applyFont="1" applyAlignment="1">
      <alignment horizontal="center" vertical="center"/>
    </xf>
    <xf numFmtId="2" fontId="0" fillId="0" borderId="0" xfId="0" applyNumberFormat="1" applyAlignment="1">
      <alignment horizontal="lef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0" xfId="0" quotePrefix="1" applyFont="1" applyFill="1" applyAlignment="1">
      <alignment horizontal="left" vertical="center"/>
    </xf>
    <xf numFmtId="0" fontId="4" fillId="0" borderId="0" xfId="0" quotePrefix="1" applyFont="1" applyFill="1" applyAlignment="1">
      <alignment horizontal="center" vertical="center"/>
    </xf>
    <xf numFmtId="2" fontId="4" fillId="0" borderId="0" xfId="0" quotePrefix="1" applyNumberFormat="1" applyFont="1" applyFill="1" applyAlignment="1">
      <alignment horizontal="center" vertical="center"/>
    </xf>
    <xf numFmtId="1" fontId="4" fillId="0" borderId="0" xfId="0" quotePrefix="1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44" fontId="4" fillId="0" borderId="0" xfId="8" quotePrefix="1" applyFont="1" applyAlignment="1">
      <alignment horizontal="center" vertical="center"/>
    </xf>
    <xf numFmtId="0" fontId="12" fillId="0" borderId="0" xfId="0" applyFont="1" applyAlignment="1">
      <alignment horizontal="center" vertical="center" textRotation="90"/>
    </xf>
    <xf numFmtId="0" fontId="13" fillId="0" borderId="0" xfId="0" applyFont="1" applyAlignment="1">
      <alignment horizontal="center" textRotation="90"/>
    </xf>
    <xf numFmtId="0" fontId="12" fillId="0" borderId="0" xfId="0" applyFont="1" applyFill="1" applyAlignment="1">
      <alignment horizontal="center" vertical="center" textRotation="90"/>
    </xf>
    <xf numFmtId="0" fontId="15" fillId="4" borderId="0" xfId="0" applyFont="1" applyFill="1" applyAlignment="1">
      <alignment horizontal="center" vertical="center"/>
    </xf>
    <xf numFmtId="1" fontId="15" fillId="0" borderId="0" xfId="0" quotePrefix="1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</cellXfs>
  <cellStyles count="9">
    <cellStyle name="Comma 2" xfId="2"/>
    <cellStyle name="Millares 2" xfId="3"/>
    <cellStyle name="Millares 3" xfId="4"/>
    <cellStyle name="Millares 4" xfId="5"/>
    <cellStyle name="Moneda" xfId="8" builtinId="4"/>
    <cellStyle name="Moneda 2" xfId="6"/>
    <cellStyle name="Normal" xfId="0" builtinId="0"/>
    <cellStyle name="Normal 2" xfId="7"/>
    <cellStyle name="Normal 3" xfId="1"/>
  </cellStyles>
  <dxfs count="2">
    <dxf>
      <font>
        <b/>
        <i/>
        <strike val="0"/>
        <color rgb="FFC00000"/>
      </font>
    </dxf>
    <dxf>
      <font>
        <b/>
        <i/>
        <strike val="0"/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36"/>
  <sheetViews>
    <sheetView workbookViewId="0">
      <selection activeCell="E16" sqref="E16"/>
    </sheetView>
  </sheetViews>
  <sheetFormatPr baseColWidth="10" defaultRowHeight="14.4" x14ac:dyDescent="0.3"/>
  <cols>
    <col min="1" max="1" width="20.88671875" style="4" customWidth="1"/>
    <col min="2" max="2" width="36.44140625" bestFit="1" customWidth="1"/>
    <col min="3" max="3" width="25.88671875" bestFit="1" customWidth="1"/>
  </cols>
  <sheetData>
    <row r="1" spans="1:4" x14ac:dyDescent="0.3">
      <c r="A1" s="21" t="s">
        <v>49</v>
      </c>
      <c r="B1" s="6"/>
      <c r="C1" s="6"/>
      <c r="D1" s="6"/>
    </row>
    <row r="3" spans="1:4" x14ac:dyDescent="0.3">
      <c r="A3" s="5" t="s">
        <v>6</v>
      </c>
      <c r="B3" t="s">
        <v>5</v>
      </c>
      <c r="C3" t="s">
        <v>4</v>
      </c>
    </row>
    <row r="4" spans="1:4" x14ac:dyDescent="0.3">
      <c r="A4" s="4" t="s">
        <v>3</v>
      </c>
      <c r="B4" t="s">
        <v>11</v>
      </c>
      <c r="C4" t="s">
        <v>44</v>
      </c>
    </row>
    <row r="5" spans="1:4" x14ac:dyDescent="0.3">
      <c r="B5" t="s">
        <v>12</v>
      </c>
      <c r="C5" t="s">
        <v>45</v>
      </c>
    </row>
    <row r="6" spans="1:4" x14ac:dyDescent="0.3">
      <c r="B6" t="s">
        <v>13</v>
      </c>
      <c r="C6" t="s">
        <v>46</v>
      </c>
    </row>
    <row r="7" spans="1:4" x14ac:dyDescent="0.3">
      <c r="B7" t="s">
        <v>14</v>
      </c>
      <c r="C7" t="s">
        <v>47</v>
      </c>
    </row>
    <row r="8" spans="1:4" x14ac:dyDescent="0.3">
      <c r="B8" t="s">
        <v>15</v>
      </c>
      <c r="C8" t="s">
        <v>44</v>
      </c>
    </row>
    <row r="9" spans="1:4" x14ac:dyDescent="0.3">
      <c r="B9" t="s">
        <v>16</v>
      </c>
      <c r="C9" t="s">
        <v>44</v>
      </c>
    </row>
    <row r="10" spans="1:4" x14ac:dyDescent="0.3">
      <c r="B10" t="s">
        <v>17</v>
      </c>
      <c r="C10" t="s">
        <v>48</v>
      </c>
    </row>
    <row r="11" spans="1:4" x14ac:dyDescent="0.3">
      <c r="B11" t="s">
        <v>18</v>
      </c>
      <c r="C11" t="s">
        <v>48</v>
      </c>
    </row>
    <row r="12" spans="1:4" x14ac:dyDescent="0.3">
      <c r="B12" t="s">
        <v>19</v>
      </c>
      <c r="C12" t="s">
        <v>44</v>
      </c>
    </row>
    <row r="13" spans="1:4" x14ac:dyDescent="0.3">
      <c r="B13" t="s">
        <v>20</v>
      </c>
      <c r="C13" t="s">
        <v>44</v>
      </c>
    </row>
    <row r="14" spans="1:4" x14ac:dyDescent="0.3">
      <c r="B14" t="s">
        <v>21</v>
      </c>
      <c r="C14" t="s">
        <v>44</v>
      </c>
    </row>
    <row r="15" spans="1:4" x14ac:dyDescent="0.3">
      <c r="B15" t="s">
        <v>22</v>
      </c>
      <c r="C15" t="s">
        <v>44</v>
      </c>
    </row>
    <row r="16" spans="1:4" x14ac:dyDescent="0.3">
      <c r="B16" t="s">
        <v>23</v>
      </c>
      <c r="C16" t="s">
        <v>44</v>
      </c>
    </row>
    <row r="17" spans="2:3" x14ac:dyDescent="0.3">
      <c r="B17" t="s">
        <v>24</v>
      </c>
      <c r="C17" t="s">
        <v>44</v>
      </c>
    </row>
    <row r="18" spans="2:3" x14ac:dyDescent="0.3">
      <c r="B18" t="s">
        <v>25</v>
      </c>
      <c r="C18" t="s">
        <v>44</v>
      </c>
    </row>
    <row r="19" spans="2:3" x14ac:dyDescent="0.3">
      <c r="B19" t="s">
        <v>26</v>
      </c>
      <c r="C19" t="s">
        <v>44</v>
      </c>
    </row>
    <row r="20" spans="2:3" x14ac:dyDescent="0.3">
      <c r="B20" t="s">
        <v>27</v>
      </c>
      <c r="C20" t="s">
        <v>44</v>
      </c>
    </row>
    <row r="21" spans="2:3" x14ac:dyDescent="0.3">
      <c r="B21" t="s">
        <v>28</v>
      </c>
      <c r="C21" t="s">
        <v>44</v>
      </c>
    </row>
    <row r="22" spans="2:3" x14ac:dyDescent="0.3">
      <c r="B22" t="s">
        <v>29</v>
      </c>
      <c r="C22" t="s">
        <v>44</v>
      </c>
    </row>
    <row r="23" spans="2:3" x14ac:dyDescent="0.3">
      <c r="B23" t="s">
        <v>30</v>
      </c>
      <c r="C23" t="s">
        <v>44</v>
      </c>
    </row>
    <row r="24" spans="2:3" x14ac:dyDescent="0.3">
      <c r="B24" t="s">
        <v>31</v>
      </c>
      <c r="C24" t="s">
        <v>44</v>
      </c>
    </row>
    <row r="25" spans="2:3" x14ac:dyDescent="0.3">
      <c r="B25" t="s">
        <v>32</v>
      </c>
      <c r="C25" t="s">
        <v>44</v>
      </c>
    </row>
    <row r="26" spans="2:3" x14ac:dyDescent="0.3">
      <c r="B26" t="s">
        <v>33</v>
      </c>
      <c r="C26" t="s">
        <v>44</v>
      </c>
    </row>
    <row r="27" spans="2:3" x14ac:dyDescent="0.3">
      <c r="B27" t="s">
        <v>34</v>
      </c>
      <c r="C27" t="s">
        <v>44</v>
      </c>
    </row>
    <row r="28" spans="2:3" x14ac:dyDescent="0.3">
      <c r="B28" t="s">
        <v>35</v>
      </c>
      <c r="C28" t="s">
        <v>44</v>
      </c>
    </row>
    <row r="29" spans="2:3" x14ac:dyDescent="0.3">
      <c r="B29" t="s">
        <v>36</v>
      </c>
      <c r="C29" t="s">
        <v>44</v>
      </c>
    </row>
    <row r="30" spans="2:3" x14ac:dyDescent="0.3">
      <c r="B30" t="s">
        <v>37</v>
      </c>
      <c r="C30" t="s">
        <v>44</v>
      </c>
    </row>
    <row r="31" spans="2:3" x14ac:dyDescent="0.3">
      <c r="B31" t="s">
        <v>38</v>
      </c>
      <c r="C31" t="s">
        <v>44</v>
      </c>
    </row>
    <row r="32" spans="2:3" x14ac:dyDescent="0.3">
      <c r="B32" t="s">
        <v>39</v>
      </c>
      <c r="C32" t="s">
        <v>44</v>
      </c>
    </row>
    <row r="33" spans="2:3" x14ac:dyDescent="0.3">
      <c r="B33" t="s">
        <v>40</v>
      </c>
      <c r="C33" t="s">
        <v>44</v>
      </c>
    </row>
    <row r="34" spans="2:3" x14ac:dyDescent="0.3">
      <c r="B34" t="s">
        <v>41</v>
      </c>
      <c r="C34" t="s">
        <v>44</v>
      </c>
    </row>
    <row r="35" spans="2:3" x14ac:dyDescent="0.3">
      <c r="B35" t="s">
        <v>42</v>
      </c>
      <c r="C35" t="s">
        <v>44</v>
      </c>
    </row>
    <row r="36" spans="2:3" x14ac:dyDescent="0.3">
      <c r="B36" t="s">
        <v>43</v>
      </c>
      <c r="C36" t="s">
        <v>44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Q21"/>
  <sheetViews>
    <sheetView tabSelected="1" zoomScaleNormal="100" workbookViewId="0">
      <pane xSplit="5" ySplit="2" topLeftCell="Z3" activePane="bottomRight" state="frozen"/>
      <selection pane="topRight" activeCell="F1" sqref="F1"/>
      <selection pane="bottomLeft" activeCell="A2" sqref="A2"/>
      <selection pane="bottomRight" activeCell="AN4" sqref="AN4:AN10"/>
    </sheetView>
  </sheetViews>
  <sheetFormatPr baseColWidth="10" defaultRowHeight="14.4" x14ac:dyDescent="0.3"/>
  <cols>
    <col min="1" max="1" width="3.33203125" style="17" customWidth="1"/>
    <col min="2" max="4" width="4.109375" customWidth="1"/>
    <col min="5" max="5" width="17.5546875" style="20" bestFit="1" customWidth="1"/>
    <col min="6" max="6" width="29.109375" style="12" customWidth="1"/>
    <col min="7" max="7" width="17.33203125" style="12" customWidth="1"/>
    <col min="8" max="8" width="17.88671875" style="12" customWidth="1"/>
    <col min="9" max="9" width="23" style="12" customWidth="1"/>
    <col min="10" max="10" width="17.33203125" style="20" customWidth="1"/>
    <col min="11" max="11" width="17.5546875" style="20" bestFit="1" customWidth="1"/>
    <col min="12" max="13" width="12.33203125" style="24" customWidth="1"/>
    <col min="14" max="14" width="10" style="20" customWidth="1"/>
    <col min="15" max="15" width="5" style="24" customWidth="1"/>
    <col min="16" max="18" width="5" style="20" customWidth="1"/>
    <col min="19" max="19" width="10" style="20" customWidth="1"/>
    <col min="20" max="20" width="5.109375" style="24" customWidth="1"/>
    <col min="21" max="23" width="5.109375" style="20" customWidth="1"/>
    <col min="24" max="24" width="10" style="20" customWidth="1"/>
    <col min="25" max="25" width="4.88671875" style="24" customWidth="1"/>
    <col min="26" max="28" width="4.88671875" style="20" customWidth="1"/>
    <col min="29" max="29" width="10" style="20" customWidth="1"/>
    <col min="30" max="30" width="5.109375" style="24" customWidth="1"/>
    <col min="31" max="33" width="5.109375" style="20" customWidth="1"/>
    <col min="34" max="34" width="10" style="20" customWidth="1"/>
    <col min="35" max="35" width="5.109375" style="24" customWidth="1"/>
    <col min="36" max="38" width="5.109375" style="20" customWidth="1"/>
    <col min="39" max="39" width="8.44140625" customWidth="1"/>
    <col min="40" max="40" width="25.33203125" customWidth="1"/>
    <col min="41" max="41" width="17.44140625" style="16" customWidth="1"/>
  </cols>
  <sheetData>
    <row r="1" spans="1:43" x14ac:dyDescent="0.3">
      <c r="N1" s="20" t="s">
        <v>73</v>
      </c>
      <c r="S1" s="20" t="s">
        <v>74</v>
      </c>
      <c r="X1" s="20" t="s">
        <v>75</v>
      </c>
      <c r="AC1" s="20" t="s">
        <v>76</v>
      </c>
      <c r="AH1" s="20" t="s">
        <v>77</v>
      </c>
    </row>
    <row r="2" spans="1:43" s="26" customFormat="1" ht="151.19999999999999" x14ac:dyDescent="0.3">
      <c r="A2" s="25" t="s">
        <v>9</v>
      </c>
      <c r="B2" s="26" t="s">
        <v>0</v>
      </c>
      <c r="C2" s="26" t="s">
        <v>1</v>
      </c>
      <c r="D2" s="26" t="s">
        <v>2</v>
      </c>
      <c r="E2" s="25" t="s">
        <v>11</v>
      </c>
      <c r="F2" s="25" t="s">
        <v>12</v>
      </c>
      <c r="G2" s="25" t="s">
        <v>13</v>
      </c>
      <c r="H2" s="25" t="s">
        <v>71</v>
      </c>
      <c r="I2" s="36" t="s">
        <v>14</v>
      </c>
      <c r="J2" s="25" t="s">
        <v>15</v>
      </c>
      <c r="K2" s="25" t="s">
        <v>16</v>
      </c>
      <c r="L2" s="27" t="s">
        <v>17</v>
      </c>
      <c r="M2" s="27" t="s">
        <v>18</v>
      </c>
      <c r="N2" s="38" t="s">
        <v>19</v>
      </c>
      <c r="O2" s="39" t="s">
        <v>20</v>
      </c>
      <c r="P2" s="39" t="s">
        <v>21</v>
      </c>
      <c r="Q2" s="39" t="s">
        <v>22</v>
      </c>
      <c r="R2" s="39" t="s">
        <v>23</v>
      </c>
      <c r="S2" s="39" t="s">
        <v>24</v>
      </c>
      <c r="T2" s="39" t="s">
        <v>25</v>
      </c>
      <c r="U2" s="39" t="s">
        <v>26</v>
      </c>
      <c r="V2" s="39" t="s">
        <v>27</v>
      </c>
      <c r="W2" s="39" t="s">
        <v>28</v>
      </c>
      <c r="X2" s="39" t="s">
        <v>29</v>
      </c>
      <c r="Y2" s="40" t="s">
        <v>30</v>
      </c>
      <c r="Z2" s="40" t="s">
        <v>31</v>
      </c>
      <c r="AA2" s="38" t="s">
        <v>32</v>
      </c>
      <c r="AB2" s="38" t="s">
        <v>33</v>
      </c>
      <c r="AC2" s="38" t="s">
        <v>34</v>
      </c>
      <c r="AD2" s="38" t="s">
        <v>35</v>
      </c>
      <c r="AE2" s="38" t="s">
        <v>36</v>
      </c>
      <c r="AF2" s="38" t="s">
        <v>37</v>
      </c>
      <c r="AG2" s="38" t="s">
        <v>38</v>
      </c>
      <c r="AH2" s="38" t="s">
        <v>39</v>
      </c>
      <c r="AI2" s="38" t="s">
        <v>40</v>
      </c>
      <c r="AJ2" s="38" t="s">
        <v>41</v>
      </c>
      <c r="AK2" s="38" t="s">
        <v>42</v>
      </c>
      <c r="AL2" s="38" t="s">
        <v>43</v>
      </c>
      <c r="AN2" s="26" t="s">
        <v>10</v>
      </c>
      <c r="AO2" s="26" t="str">
        <f>TABLA!A1</f>
        <v>AUTORIZACION</v>
      </c>
      <c r="AP2" s="26" t="s">
        <v>7</v>
      </c>
      <c r="AQ2" s="26" t="str">
        <f>CONCATENATE($AN$2,$AO$2,$AP$2,B4, ", ", C4, ", ", D4, ", ", )</f>
        <v xml:space="preserve">EXECUTE [dbo].[PG_CI_AUTORIZACION] 0, 0, 0, </v>
      </c>
    </row>
    <row r="3" spans="1:43" x14ac:dyDescent="0.3">
      <c r="A3" s="4"/>
      <c r="B3" s="8" t="s">
        <v>8</v>
      </c>
      <c r="C3" s="8" t="s">
        <v>8</v>
      </c>
      <c r="D3" s="8" t="s">
        <v>8</v>
      </c>
      <c r="E3" s="19" t="s">
        <v>8</v>
      </c>
      <c r="F3" s="11" t="s">
        <v>8</v>
      </c>
      <c r="G3" s="11" t="s">
        <v>8</v>
      </c>
      <c r="H3" s="11"/>
      <c r="I3" s="11" t="s">
        <v>8</v>
      </c>
      <c r="J3" s="19" t="s">
        <v>8</v>
      </c>
      <c r="K3" s="19" t="s">
        <v>8</v>
      </c>
      <c r="L3" s="22" t="s">
        <v>8</v>
      </c>
      <c r="M3" s="22" t="s">
        <v>8</v>
      </c>
      <c r="N3" s="19" t="s">
        <v>8</v>
      </c>
      <c r="O3" s="22" t="s">
        <v>8</v>
      </c>
      <c r="P3" s="19" t="s">
        <v>8</v>
      </c>
      <c r="Q3" s="19" t="s">
        <v>8</v>
      </c>
      <c r="R3" s="19" t="s">
        <v>8</v>
      </c>
      <c r="S3" s="19" t="s">
        <v>8</v>
      </c>
      <c r="T3" s="22" t="s">
        <v>8</v>
      </c>
      <c r="U3" s="19"/>
      <c r="V3" s="19"/>
      <c r="W3" s="19"/>
      <c r="X3" s="19"/>
      <c r="Y3" s="22"/>
      <c r="Z3" s="19"/>
      <c r="AA3" s="19"/>
      <c r="AB3" s="19"/>
      <c r="AC3" s="19"/>
      <c r="AD3" s="22"/>
      <c r="AE3" s="19"/>
      <c r="AF3" s="19"/>
      <c r="AG3" s="19"/>
      <c r="AH3" s="19"/>
      <c r="AI3" s="22"/>
      <c r="AJ3" s="19"/>
      <c r="AK3" s="19"/>
      <c r="AL3" s="19"/>
      <c r="AM3" s="1"/>
      <c r="AN3" s="2" t="str">
        <f>"-- =========================================================="</f>
        <v>-- ==========================================================</v>
      </c>
      <c r="AO3" s="14"/>
      <c r="AP3" s="7"/>
      <c r="AQ3" s="1"/>
    </row>
    <row r="4" spans="1:43" s="14" customFormat="1" ht="12" x14ac:dyDescent="0.3">
      <c r="A4" s="28"/>
      <c r="B4" s="29">
        <v>0</v>
      </c>
      <c r="C4" s="29">
        <v>0</v>
      </c>
      <c r="D4" s="29">
        <v>0</v>
      </c>
      <c r="E4" s="30">
        <v>1</v>
      </c>
      <c r="F4" s="31" t="s">
        <v>50</v>
      </c>
      <c r="G4" s="32" t="s">
        <v>59</v>
      </c>
      <c r="H4" s="32">
        <v>1</v>
      </c>
      <c r="I4" s="31" t="s">
        <v>64</v>
      </c>
      <c r="J4" s="30">
        <v>1</v>
      </c>
      <c r="K4" s="30">
        <v>0</v>
      </c>
      <c r="L4" s="33">
        <v>7000</v>
      </c>
      <c r="M4" s="33">
        <v>9000</v>
      </c>
      <c r="N4" s="30">
        <v>2</v>
      </c>
      <c r="O4" s="34">
        <v>2</v>
      </c>
      <c r="P4" s="30">
        <v>2</v>
      </c>
      <c r="Q4" s="30">
        <v>2</v>
      </c>
      <c r="R4" s="30">
        <v>2</v>
      </c>
      <c r="S4" s="30">
        <v>1</v>
      </c>
      <c r="T4" s="34">
        <v>20</v>
      </c>
      <c r="U4" s="30">
        <v>0</v>
      </c>
      <c r="V4" s="30">
        <v>1</v>
      </c>
      <c r="W4" s="30">
        <v>2</v>
      </c>
      <c r="X4" s="30">
        <v>1</v>
      </c>
      <c r="Y4" s="34">
        <v>2</v>
      </c>
      <c r="Z4" s="30">
        <v>1</v>
      </c>
      <c r="AA4" s="30">
        <v>2</v>
      </c>
      <c r="AB4" s="30">
        <v>0</v>
      </c>
      <c r="AC4" s="30">
        <v>2</v>
      </c>
      <c r="AD4" s="34">
        <v>15</v>
      </c>
      <c r="AE4" s="30">
        <v>0</v>
      </c>
      <c r="AF4" s="30">
        <v>2</v>
      </c>
      <c r="AG4" s="30">
        <v>2</v>
      </c>
      <c r="AH4" s="30">
        <v>0</v>
      </c>
      <c r="AI4" s="34">
        <v>11</v>
      </c>
      <c r="AJ4" s="30">
        <v>1</v>
      </c>
      <c r="AK4" s="30">
        <v>2</v>
      </c>
      <c r="AL4" s="30">
        <v>2</v>
      </c>
      <c r="AN4" s="35" t="str">
        <f>CONCATENATE($AQ$2,E4,", '",F4,"' , '",G4,"' , '",I4,"',",J4," ,",K4,",",L4,",",M4,", ",N4," ,",O4,",",P4,",",Q4," ,",R4," ,",S4,",",T4,",",U4,",",V4,",",W4,",",X4,",",Y4,",",Z4,",",AA4,",",AB4,",",AC4,",",AD4,",",AE4,",",AF4,",",AG4,",",AH4,",",AI4,",",AJ4,",",AK4,",",AL4)</f>
        <v>EXECUTE [dbo].[PG_CI_AUTORIZACION] 0, 0, 0, 1, 'LIC. F ROBLES' , 'FROBL' , 'QA   //  LIC. F ROBLES',1 ,0,7000,9000, 2 ,2,2,2 ,2 ,1,20,0,1,2,1,2,1,2,0,2,15,0,2,2,0,11,1,2,2</v>
      </c>
      <c r="AO4" s="15"/>
    </row>
    <row r="5" spans="1:43" s="14" customFormat="1" ht="12" x14ac:dyDescent="0.3">
      <c r="A5" s="28"/>
      <c r="B5" s="29">
        <v>0</v>
      </c>
      <c r="C5" s="29">
        <v>0</v>
      </c>
      <c r="D5" s="29">
        <v>0</v>
      </c>
      <c r="E5" s="30">
        <v>2</v>
      </c>
      <c r="F5" s="31" t="s">
        <v>51</v>
      </c>
      <c r="G5" s="32" t="s">
        <v>57</v>
      </c>
      <c r="H5" s="32">
        <v>2</v>
      </c>
      <c r="I5" s="31" t="s">
        <v>65</v>
      </c>
      <c r="J5" s="30">
        <v>1</v>
      </c>
      <c r="K5" s="30">
        <v>0</v>
      </c>
      <c r="L5" s="33">
        <v>800</v>
      </c>
      <c r="M5" s="33">
        <v>1500</v>
      </c>
      <c r="N5" s="30">
        <v>2</v>
      </c>
      <c r="O5" s="34">
        <v>20</v>
      </c>
      <c r="P5" s="30">
        <v>1</v>
      </c>
      <c r="Q5" s="30">
        <v>2</v>
      </c>
      <c r="R5" s="30">
        <v>1</v>
      </c>
      <c r="S5" s="30">
        <v>1</v>
      </c>
      <c r="T5" s="34">
        <v>1</v>
      </c>
      <c r="U5" s="30">
        <v>0</v>
      </c>
      <c r="V5" s="30">
        <v>0</v>
      </c>
      <c r="W5" s="30">
        <v>2</v>
      </c>
      <c r="X5" s="30">
        <v>3</v>
      </c>
      <c r="Y5" s="34">
        <v>17</v>
      </c>
      <c r="Z5" s="30">
        <v>1</v>
      </c>
      <c r="AA5" s="30">
        <v>2</v>
      </c>
      <c r="AB5" s="30">
        <v>0</v>
      </c>
      <c r="AC5" s="30">
        <v>2</v>
      </c>
      <c r="AD5" s="34">
        <v>16</v>
      </c>
      <c r="AE5" s="30">
        <v>0</v>
      </c>
      <c r="AF5" s="30">
        <v>2</v>
      </c>
      <c r="AG5" s="30">
        <v>2</v>
      </c>
      <c r="AH5" s="30">
        <v>1</v>
      </c>
      <c r="AI5" s="34">
        <v>20</v>
      </c>
      <c r="AJ5" s="30">
        <v>1</v>
      </c>
      <c r="AK5" s="30">
        <v>1</v>
      </c>
      <c r="AL5" s="30">
        <v>2</v>
      </c>
      <c r="AN5" s="35" t="str">
        <f t="shared" ref="AN5:AN10" si="0">CONCATENATE($AQ$2,E5,", '",F5,"' , '",G5,"' , '",I5,"',",J5," ,",K5,",",L5,",",M5,", ",N5," ,",O5,",",P5,",",Q5," ,",R5," ,",S5,",",T5,",",U5,",",V5,",",W5,",",X5,",",Y5,",",Z5,",",AA5,",",AB5,",",AC5,",",AD5,",",AE5,",",AF5,",",AG5,",",AH5,",",AI5,",",AJ5,",",AK5,",",AL5)</f>
        <v>EXECUTE [dbo].[PG_CI_AUTORIZACION] 0, 0, 0, 2, 'LIC. O GONZALEZ' , 'OGLEZ' , 'QA   //  LIC. O GONZALEZ',1 ,0,800,1500, 2 ,20,1,2 ,1 ,1,1,0,0,2,3,17,1,2,0,2,16,0,2,2,1,20,1,1,2</v>
      </c>
      <c r="AO5" s="15"/>
    </row>
    <row r="6" spans="1:43" s="14" customFormat="1" ht="12" x14ac:dyDescent="0.3">
      <c r="A6" s="28"/>
      <c r="B6" s="29">
        <v>0</v>
      </c>
      <c r="C6" s="29">
        <v>0</v>
      </c>
      <c r="D6" s="29">
        <v>0</v>
      </c>
      <c r="E6" s="30">
        <v>3</v>
      </c>
      <c r="F6" s="31" t="s">
        <v>52</v>
      </c>
      <c r="G6" s="32" t="s">
        <v>60</v>
      </c>
      <c r="H6" s="32">
        <v>3</v>
      </c>
      <c r="I6" s="31" t="s">
        <v>66</v>
      </c>
      <c r="J6" s="30">
        <v>1</v>
      </c>
      <c r="K6" s="30">
        <v>0</v>
      </c>
      <c r="L6" s="33">
        <v>25000</v>
      </c>
      <c r="M6" s="33">
        <v>38000</v>
      </c>
      <c r="N6" s="30">
        <v>1</v>
      </c>
      <c r="O6" s="34">
        <v>17</v>
      </c>
      <c r="P6" s="30">
        <v>1</v>
      </c>
      <c r="Q6" s="30">
        <v>0</v>
      </c>
      <c r="R6" s="30">
        <v>1</v>
      </c>
      <c r="S6" s="30">
        <v>0</v>
      </c>
      <c r="T6" s="34">
        <v>15</v>
      </c>
      <c r="U6" s="30">
        <v>0</v>
      </c>
      <c r="V6" s="30">
        <v>1</v>
      </c>
      <c r="W6" s="30">
        <v>2</v>
      </c>
      <c r="X6" s="30">
        <v>2</v>
      </c>
      <c r="Y6" s="34">
        <v>14</v>
      </c>
      <c r="Z6" s="30">
        <v>1</v>
      </c>
      <c r="AA6" s="30">
        <v>1</v>
      </c>
      <c r="AB6" s="30">
        <v>2</v>
      </c>
      <c r="AC6" s="30">
        <v>2</v>
      </c>
      <c r="AD6" s="34">
        <v>13</v>
      </c>
      <c r="AE6" s="30">
        <v>1</v>
      </c>
      <c r="AF6" s="30">
        <v>2</v>
      </c>
      <c r="AG6" s="30">
        <v>1</v>
      </c>
      <c r="AH6" s="30">
        <v>2</v>
      </c>
      <c r="AI6" s="34">
        <v>5</v>
      </c>
      <c r="AJ6" s="30">
        <v>2</v>
      </c>
      <c r="AK6" s="30">
        <v>1</v>
      </c>
      <c r="AL6" s="30">
        <v>2</v>
      </c>
      <c r="AN6" s="35" t="str">
        <f t="shared" si="0"/>
        <v>EXECUTE [dbo].[PG_CI_AUTORIZACION] 0, 0, 0, 3, 'TESORERIA' , 'TESOR' , 'QA   //  TESORERIA',1 ,0,25000,38000, 1 ,17,1,0 ,1 ,0,15,0,1,2,2,14,1,1,2,2,13,1,2,1,2,5,2,1,2</v>
      </c>
      <c r="AO6" s="15"/>
    </row>
    <row r="7" spans="1:43" s="1" customFormat="1" ht="12" x14ac:dyDescent="0.3">
      <c r="A7" s="10"/>
      <c r="B7" s="3">
        <v>0</v>
      </c>
      <c r="C7" s="3">
        <v>0</v>
      </c>
      <c r="D7" s="3">
        <v>0</v>
      </c>
      <c r="E7" s="18">
        <v>4</v>
      </c>
      <c r="F7" s="11" t="s">
        <v>53</v>
      </c>
      <c r="G7" s="9" t="s">
        <v>58</v>
      </c>
      <c r="H7" s="32">
        <v>4</v>
      </c>
      <c r="I7" s="31" t="s">
        <v>67</v>
      </c>
      <c r="J7" s="18">
        <v>1</v>
      </c>
      <c r="K7" s="18">
        <v>0</v>
      </c>
      <c r="L7" s="23">
        <v>35000</v>
      </c>
      <c r="M7" s="23">
        <v>50000</v>
      </c>
      <c r="N7" s="30">
        <v>3</v>
      </c>
      <c r="O7" s="34">
        <v>18</v>
      </c>
      <c r="P7" s="30">
        <v>1</v>
      </c>
      <c r="Q7" s="30">
        <v>0</v>
      </c>
      <c r="R7" s="30">
        <v>0</v>
      </c>
      <c r="S7" s="30">
        <v>1</v>
      </c>
      <c r="T7" s="34">
        <v>15</v>
      </c>
      <c r="U7" s="30">
        <v>1</v>
      </c>
      <c r="V7" s="30">
        <v>1</v>
      </c>
      <c r="W7" s="30">
        <v>2</v>
      </c>
      <c r="X7" s="30">
        <v>1</v>
      </c>
      <c r="Y7" s="34">
        <v>14</v>
      </c>
      <c r="Z7" s="30">
        <v>1</v>
      </c>
      <c r="AA7" s="30">
        <v>1</v>
      </c>
      <c r="AB7" s="30">
        <v>2</v>
      </c>
      <c r="AC7" s="30">
        <v>1</v>
      </c>
      <c r="AD7" s="34">
        <v>5</v>
      </c>
      <c r="AE7" s="30">
        <v>1</v>
      </c>
      <c r="AF7" s="30">
        <v>2</v>
      </c>
      <c r="AG7" s="30">
        <v>1</v>
      </c>
      <c r="AH7" s="30">
        <v>1</v>
      </c>
      <c r="AI7" s="34">
        <v>19</v>
      </c>
      <c r="AJ7" s="30">
        <v>1</v>
      </c>
      <c r="AK7" s="30">
        <v>2</v>
      </c>
      <c r="AL7" s="30">
        <v>2</v>
      </c>
      <c r="AN7" s="35" t="str">
        <f t="shared" si="0"/>
        <v>EXECUTE [dbo].[PG_CI_AUTORIZACION] 0, 0, 0, 4, 'FINANCIAMIENTO' , 'FNCIM' , 'QA   //  FINANCIAMIENTO',1 ,0,35000,50000, 3 ,18,1,0 ,0 ,1,15,1,1,2,1,14,1,1,2,1,5,1,2,1,1,19,1,2,2</v>
      </c>
      <c r="AO7" s="15"/>
    </row>
    <row r="8" spans="1:43" s="1" customFormat="1" ht="12" x14ac:dyDescent="0.3">
      <c r="A8" s="10"/>
      <c r="B8" s="3">
        <v>0</v>
      </c>
      <c r="C8" s="3">
        <v>0</v>
      </c>
      <c r="D8" s="3">
        <v>0</v>
      </c>
      <c r="E8" s="18">
        <v>5</v>
      </c>
      <c r="F8" s="11" t="s">
        <v>54</v>
      </c>
      <c r="G8" s="9" t="s">
        <v>61</v>
      </c>
      <c r="H8" s="32">
        <v>5</v>
      </c>
      <c r="I8" s="31" t="s">
        <v>68</v>
      </c>
      <c r="J8" s="18">
        <v>1</v>
      </c>
      <c r="K8" s="18">
        <v>0</v>
      </c>
      <c r="L8" s="23">
        <v>100000</v>
      </c>
      <c r="M8" s="23">
        <v>150000</v>
      </c>
      <c r="N8" s="30">
        <v>0</v>
      </c>
      <c r="O8" s="34">
        <v>9</v>
      </c>
      <c r="P8" s="30">
        <v>1</v>
      </c>
      <c r="Q8" s="30">
        <v>1</v>
      </c>
      <c r="R8" s="30">
        <v>0</v>
      </c>
      <c r="S8" s="30">
        <v>2</v>
      </c>
      <c r="T8" s="34">
        <v>7</v>
      </c>
      <c r="U8" s="30">
        <v>1</v>
      </c>
      <c r="V8" s="30">
        <v>2</v>
      </c>
      <c r="W8" s="30">
        <v>1</v>
      </c>
      <c r="X8" s="30">
        <v>3</v>
      </c>
      <c r="Y8" s="34">
        <v>1</v>
      </c>
      <c r="Z8" s="30">
        <v>2</v>
      </c>
      <c r="AA8" s="30">
        <v>0</v>
      </c>
      <c r="AB8" s="30">
        <v>0</v>
      </c>
      <c r="AC8" s="30">
        <v>1</v>
      </c>
      <c r="AD8" s="34">
        <v>11</v>
      </c>
      <c r="AE8" s="30">
        <v>2</v>
      </c>
      <c r="AF8" s="30">
        <v>1</v>
      </c>
      <c r="AG8" s="30">
        <v>0</v>
      </c>
      <c r="AH8" s="30">
        <v>1</v>
      </c>
      <c r="AI8" s="34">
        <v>13</v>
      </c>
      <c r="AJ8" s="30">
        <v>1</v>
      </c>
      <c r="AK8" s="30">
        <v>1</v>
      </c>
      <c r="AL8" s="30">
        <v>1</v>
      </c>
      <c r="AN8" s="35" t="str">
        <f t="shared" si="0"/>
        <v>EXECUTE [dbo].[PG_CI_AUTORIZACION] 0, 0, 0, 5, 'PLANEACIÓN' , 'PLANE' , 'QA   //  PLANEACIÓN',1 ,0,100000,150000, 0 ,9,1,1 ,0 ,2,7,1,2,1,3,1,2,0,0,1,11,2,1,0,1,13,1,1,1</v>
      </c>
      <c r="AO8" s="15"/>
    </row>
    <row r="9" spans="1:43" s="1" customFormat="1" ht="12" x14ac:dyDescent="0.3">
      <c r="A9" s="10"/>
      <c r="B9" s="3">
        <v>0</v>
      </c>
      <c r="C9" s="3">
        <v>0</v>
      </c>
      <c r="D9" s="3">
        <v>0</v>
      </c>
      <c r="E9" s="18">
        <v>6</v>
      </c>
      <c r="F9" s="11" t="s">
        <v>55</v>
      </c>
      <c r="G9" s="9" t="s">
        <v>62</v>
      </c>
      <c r="H9" s="32">
        <v>6</v>
      </c>
      <c r="I9" s="31" t="s">
        <v>69</v>
      </c>
      <c r="J9" s="18">
        <v>1</v>
      </c>
      <c r="K9" s="18">
        <v>0</v>
      </c>
      <c r="L9" s="23">
        <v>35000</v>
      </c>
      <c r="M9" s="23">
        <v>60000</v>
      </c>
      <c r="N9" s="30">
        <v>0</v>
      </c>
      <c r="O9" s="34">
        <v>3</v>
      </c>
      <c r="P9" s="30">
        <v>0</v>
      </c>
      <c r="Q9" s="30">
        <v>0</v>
      </c>
      <c r="R9" s="30">
        <v>0</v>
      </c>
      <c r="S9" s="30">
        <v>0</v>
      </c>
      <c r="T9" s="34">
        <v>12</v>
      </c>
      <c r="U9" s="30">
        <v>2</v>
      </c>
      <c r="V9" s="30">
        <v>2</v>
      </c>
      <c r="W9" s="30">
        <v>1</v>
      </c>
      <c r="X9" s="30">
        <v>2</v>
      </c>
      <c r="Y9" s="34">
        <v>19</v>
      </c>
      <c r="Z9" s="30">
        <v>2</v>
      </c>
      <c r="AA9" s="30">
        <v>2</v>
      </c>
      <c r="AB9" s="30">
        <v>2</v>
      </c>
      <c r="AC9" s="30">
        <v>2</v>
      </c>
      <c r="AD9" s="34">
        <v>17</v>
      </c>
      <c r="AE9" s="30">
        <v>1</v>
      </c>
      <c r="AF9" s="30">
        <v>1</v>
      </c>
      <c r="AG9" s="30">
        <v>2</v>
      </c>
      <c r="AH9" s="30">
        <v>1</v>
      </c>
      <c r="AI9" s="34">
        <v>4</v>
      </c>
      <c r="AJ9" s="30">
        <v>1</v>
      </c>
      <c r="AK9" s="30">
        <v>1</v>
      </c>
      <c r="AL9" s="30">
        <v>2</v>
      </c>
      <c r="AN9" s="35" t="str">
        <f t="shared" si="0"/>
        <v>EXECUTE [dbo].[PG_CI_AUTORIZACION] 0, 0, 0, 6, 'EGRESOS' , 'EGRSO' , 'QA   //  EGRESOS',1 ,0,35000,60000, 0 ,3,0,0 ,0 ,0,12,2,2,1,2,19,2,2,2,2,17,1,1,2,1,4,1,1,2</v>
      </c>
      <c r="AO9" s="15"/>
    </row>
    <row r="10" spans="1:43" s="1" customFormat="1" ht="12" x14ac:dyDescent="0.3">
      <c r="A10" s="10"/>
      <c r="B10" s="3">
        <v>0</v>
      </c>
      <c r="C10" s="3">
        <v>0</v>
      </c>
      <c r="D10" s="3">
        <v>0</v>
      </c>
      <c r="E10" s="18">
        <v>7</v>
      </c>
      <c r="F10" s="11" t="s">
        <v>56</v>
      </c>
      <c r="G10" s="9" t="s">
        <v>63</v>
      </c>
      <c r="H10" s="32">
        <v>7</v>
      </c>
      <c r="I10" s="31" t="s">
        <v>70</v>
      </c>
      <c r="J10" s="18">
        <v>1</v>
      </c>
      <c r="K10" s="18">
        <v>0</v>
      </c>
      <c r="L10" s="23">
        <v>40000</v>
      </c>
      <c r="M10" s="23">
        <v>45000</v>
      </c>
      <c r="N10" s="30">
        <v>1</v>
      </c>
      <c r="O10" s="34">
        <v>2</v>
      </c>
      <c r="P10" s="30">
        <v>2</v>
      </c>
      <c r="Q10" s="30">
        <v>2</v>
      </c>
      <c r="R10" s="30">
        <v>0</v>
      </c>
      <c r="S10" s="30">
        <v>0</v>
      </c>
      <c r="T10" s="34">
        <v>15</v>
      </c>
      <c r="U10" s="30">
        <v>2</v>
      </c>
      <c r="V10" s="30">
        <v>2</v>
      </c>
      <c r="W10" s="30">
        <v>1</v>
      </c>
      <c r="X10" s="30">
        <v>3</v>
      </c>
      <c r="Y10" s="34">
        <v>17</v>
      </c>
      <c r="Z10" s="30">
        <v>2</v>
      </c>
      <c r="AA10" s="30">
        <v>0</v>
      </c>
      <c r="AB10" s="30">
        <v>2</v>
      </c>
      <c r="AC10" s="30">
        <v>1</v>
      </c>
      <c r="AD10" s="34">
        <v>7</v>
      </c>
      <c r="AE10" s="30">
        <v>1</v>
      </c>
      <c r="AF10" s="30">
        <v>2</v>
      </c>
      <c r="AG10" s="30">
        <v>0</v>
      </c>
      <c r="AH10" s="30">
        <v>1</v>
      </c>
      <c r="AI10" s="34">
        <v>11</v>
      </c>
      <c r="AJ10" s="30">
        <v>1</v>
      </c>
      <c r="AK10" s="30">
        <v>1</v>
      </c>
      <c r="AL10" s="30">
        <v>2</v>
      </c>
      <c r="AN10" s="35" t="str">
        <f t="shared" si="0"/>
        <v>EXECUTE [dbo].[PG_CI_AUTORIZACION] 0, 0, 0, 7, 'RECURSOS HUMANOS' , 'RH.RH' , 'QA   //  RECURSOS HUMANOS',1 ,0,40000,45000, 1 ,2,2,2 ,0 ,0,15,2,2,1,3,17,2,0,2,1,7,1,2,0,1,11,1,1,2</v>
      </c>
      <c r="AO10" s="15"/>
    </row>
    <row r="11" spans="1:43" s="14" customFormat="1" ht="12" x14ac:dyDescent="0.3">
      <c r="A11" s="28"/>
      <c r="B11" s="29"/>
      <c r="C11" s="29"/>
      <c r="D11" s="29"/>
      <c r="E11" s="30"/>
      <c r="F11" s="31"/>
      <c r="G11" s="32"/>
      <c r="H11" s="32"/>
      <c r="I11" s="31"/>
      <c r="J11" s="30"/>
      <c r="K11" s="30"/>
      <c r="L11" s="33"/>
      <c r="M11" s="33"/>
      <c r="N11" s="30"/>
      <c r="O11" s="34"/>
      <c r="P11" s="30"/>
      <c r="Q11" s="30"/>
      <c r="R11" s="30"/>
      <c r="S11" s="30"/>
      <c r="T11" s="34"/>
      <c r="U11" s="30"/>
      <c r="V11" s="30"/>
      <c r="W11" s="30"/>
      <c r="X11" s="30"/>
      <c r="Y11" s="34"/>
      <c r="Z11" s="30"/>
      <c r="AA11" s="30"/>
      <c r="AB11" s="30"/>
      <c r="AC11" s="30"/>
      <c r="AD11" s="34"/>
      <c r="AE11" s="30"/>
      <c r="AF11" s="30"/>
      <c r="AG11" s="30"/>
      <c r="AH11" s="30"/>
      <c r="AI11" s="34"/>
      <c r="AJ11" s="30"/>
      <c r="AK11" s="30"/>
      <c r="AL11" s="30"/>
      <c r="AN11" s="35"/>
      <c r="AO11" s="15"/>
    </row>
    <row r="12" spans="1:43" s="14" customFormat="1" ht="12" x14ac:dyDescent="0.3">
      <c r="A12" s="28"/>
      <c r="B12" s="29"/>
      <c r="C12" s="29"/>
      <c r="D12" s="29"/>
      <c r="E12" s="30"/>
      <c r="F12" s="31"/>
      <c r="G12" s="32"/>
      <c r="H12" s="32"/>
      <c r="I12" s="31"/>
      <c r="J12" s="30"/>
      <c r="K12" s="30"/>
      <c r="L12" s="33"/>
      <c r="M12" s="33"/>
      <c r="N12" s="30"/>
      <c r="O12" s="34"/>
      <c r="P12" s="30"/>
      <c r="Q12" s="30"/>
      <c r="R12" s="30"/>
      <c r="S12" s="30"/>
      <c r="T12" s="34"/>
      <c r="U12" s="30"/>
      <c r="V12" s="30"/>
      <c r="W12" s="30"/>
      <c r="X12" s="30"/>
      <c r="Y12" s="34"/>
      <c r="Z12" s="30"/>
      <c r="AA12" s="30"/>
      <c r="AB12" s="30"/>
      <c r="AC12" s="30"/>
      <c r="AD12" s="34"/>
      <c r="AE12" s="30"/>
      <c r="AF12" s="30"/>
      <c r="AG12" s="30"/>
      <c r="AH12" s="30"/>
      <c r="AI12" s="34"/>
      <c r="AJ12" s="30"/>
      <c r="AK12" s="30"/>
      <c r="AL12" s="30"/>
      <c r="AN12" s="35"/>
      <c r="AO12" s="15"/>
    </row>
    <row r="13" spans="1:43" s="1" customFormat="1" ht="12" x14ac:dyDescent="0.3">
      <c r="A13" s="10"/>
      <c r="B13" s="3"/>
      <c r="C13" s="3"/>
      <c r="D13" s="3"/>
      <c r="E13" s="18"/>
      <c r="F13" s="11"/>
      <c r="G13" s="9"/>
      <c r="H13" s="9"/>
      <c r="I13" s="11"/>
      <c r="J13" s="18"/>
      <c r="K13" s="18"/>
      <c r="L13" s="23"/>
      <c r="M13" s="23"/>
      <c r="N13" s="30"/>
      <c r="O13" s="34"/>
      <c r="P13" s="30"/>
      <c r="Q13" s="30"/>
      <c r="R13" s="30"/>
      <c r="S13" s="30"/>
      <c r="T13" s="34"/>
      <c r="U13" s="30"/>
      <c r="V13" s="30"/>
      <c r="W13" s="30"/>
      <c r="X13" s="30"/>
      <c r="Y13" s="34"/>
      <c r="Z13" s="30"/>
      <c r="AA13" s="30"/>
      <c r="AB13" s="30"/>
      <c r="AC13" s="30"/>
      <c r="AD13" s="34"/>
      <c r="AE13" s="30"/>
      <c r="AF13" s="30"/>
      <c r="AG13" s="30"/>
      <c r="AH13" s="30"/>
      <c r="AI13" s="34"/>
      <c r="AJ13" s="30"/>
      <c r="AK13" s="30"/>
      <c r="AL13" s="30"/>
      <c r="AN13" s="13"/>
      <c r="AO13" s="15"/>
    </row>
    <row r="14" spans="1:43" s="1" customFormat="1" ht="12" x14ac:dyDescent="0.3">
      <c r="A14" s="10"/>
      <c r="B14" s="3">
        <v>0</v>
      </c>
      <c r="C14" s="3">
        <v>0</v>
      </c>
      <c r="D14" s="3">
        <v>0</v>
      </c>
      <c r="E14" s="18">
        <v>1001</v>
      </c>
      <c r="F14" s="11" t="s">
        <v>78</v>
      </c>
      <c r="G14" s="9" t="s">
        <v>72</v>
      </c>
      <c r="H14" s="32">
        <v>7</v>
      </c>
      <c r="I14" s="31" t="str">
        <f>CONCATENATE("QA // ",F14," #",E14)</f>
        <v>QA // RECURSO-PLANTA / 25$EXTRA #1001</v>
      </c>
      <c r="J14" s="18">
        <v>1</v>
      </c>
      <c r="K14" s="18">
        <v>1</v>
      </c>
      <c r="L14" s="37">
        <v>0</v>
      </c>
      <c r="M14" s="37">
        <v>25000</v>
      </c>
      <c r="N14" s="44">
        <v>2</v>
      </c>
      <c r="O14" s="42">
        <v>1</v>
      </c>
      <c r="P14" s="43">
        <v>1</v>
      </c>
      <c r="Q14" s="41">
        <v>0</v>
      </c>
      <c r="R14" s="41">
        <v>0</v>
      </c>
      <c r="S14" s="44">
        <v>0</v>
      </c>
      <c r="T14" s="42">
        <v>2</v>
      </c>
      <c r="U14" s="41">
        <v>0</v>
      </c>
      <c r="V14" s="41">
        <v>0</v>
      </c>
      <c r="W14" s="41">
        <v>0</v>
      </c>
      <c r="X14" s="44">
        <v>0</v>
      </c>
      <c r="Y14" s="42">
        <v>3</v>
      </c>
      <c r="Z14" s="41">
        <v>0</v>
      </c>
      <c r="AA14" s="41">
        <v>0</v>
      </c>
      <c r="AB14" s="41">
        <v>0</v>
      </c>
      <c r="AC14" s="44">
        <v>0</v>
      </c>
      <c r="AD14" s="42">
        <v>4</v>
      </c>
      <c r="AE14" s="41">
        <v>0</v>
      </c>
      <c r="AF14" s="41">
        <v>0</v>
      </c>
      <c r="AG14" s="41">
        <v>0</v>
      </c>
      <c r="AH14" s="44">
        <v>0</v>
      </c>
      <c r="AI14" s="42">
        <v>0</v>
      </c>
      <c r="AJ14" s="41">
        <v>0</v>
      </c>
      <c r="AK14" s="41">
        <v>0</v>
      </c>
      <c r="AL14" s="41">
        <v>0</v>
      </c>
      <c r="AN14" s="35" t="str">
        <f t="shared" ref="AN14" si="1">CONCATENATE($AQ$2,E14,", '",F14,"' , '",G14,"' , '",I14,"',",J14," ,",K14,",",L14,",",M14,", ",N14," ,",O14,",",P14,",",Q14," ,",R14," ,",S14,",",T14,",",U14,",",V14,",",W14,",",X14,",",Y14,",",Z14,",",AA14,",",AB14,",",AC14,",",AD14,",",AE14,",",AF14,",",AG14,",",AH14,",",AI14,",",AJ14,",",AK14,",",AL14)</f>
        <v>EXECUTE [dbo].[PG_CI_AUTORIZACION] 0, 0, 0, 1001, 'RECURSO-PLANTA / 25$EXTRA' , 'EXT' , 'QA // RECURSO-PLANTA / 25$EXTRA #1001',1 ,1,0,25000, 2 ,1,1,0 ,0 ,0,2,0,0,0,0,3,0,0,0,0,4,0,0,0,0,0,0,0,0</v>
      </c>
      <c r="AO14" s="15"/>
    </row>
    <row r="15" spans="1:43" s="1" customFormat="1" ht="12" x14ac:dyDescent="0.3">
      <c r="A15" s="10"/>
      <c r="B15" s="3">
        <v>0</v>
      </c>
      <c r="C15" s="3">
        <v>0</v>
      </c>
      <c r="D15" s="3">
        <v>0</v>
      </c>
      <c r="E15" s="18">
        <v>1002</v>
      </c>
      <c r="F15" s="11" t="s">
        <v>79</v>
      </c>
      <c r="G15" s="9" t="s">
        <v>72</v>
      </c>
      <c r="H15" s="32">
        <v>7</v>
      </c>
      <c r="I15" s="31" t="str">
        <f>CONCATENATE("QA // ",F15," #",E15)</f>
        <v>QA // RECURSO-PLANTA / 50$EXTRA #1002</v>
      </c>
      <c r="J15" s="18">
        <v>1</v>
      </c>
      <c r="K15" s="18">
        <v>1</v>
      </c>
      <c r="L15" s="37">
        <f>M14</f>
        <v>25000</v>
      </c>
      <c r="M15" s="37">
        <v>50000</v>
      </c>
      <c r="N15" s="44">
        <v>2</v>
      </c>
      <c r="O15" s="42">
        <v>1</v>
      </c>
      <c r="P15" s="43">
        <v>1</v>
      </c>
      <c r="Q15" s="41">
        <v>0</v>
      </c>
      <c r="R15" s="41">
        <v>0</v>
      </c>
      <c r="S15" s="44">
        <v>2</v>
      </c>
      <c r="T15" s="42">
        <v>2</v>
      </c>
      <c r="U15" s="43">
        <v>3</v>
      </c>
      <c r="V15" s="41">
        <v>0</v>
      </c>
      <c r="W15" s="41">
        <v>0</v>
      </c>
      <c r="X15" s="44">
        <v>0</v>
      </c>
      <c r="Y15" s="42">
        <v>3</v>
      </c>
      <c r="Z15" s="41">
        <v>0</v>
      </c>
      <c r="AA15" s="41">
        <v>0</v>
      </c>
      <c r="AB15" s="41">
        <v>0</v>
      </c>
      <c r="AC15" s="44">
        <v>0</v>
      </c>
      <c r="AD15" s="42">
        <v>4</v>
      </c>
      <c r="AE15" s="41">
        <v>0</v>
      </c>
      <c r="AF15" s="41">
        <v>0</v>
      </c>
      <c r="AG15" s="41">
        <v>0</v>
      </c>
      <c r="AH15" s="44">
        <v>0</v>
      </c>
      <c r="AI15" s="42">
        <v>0</v>
      </c>
      <c r="AJ15" s="41">
        <v>0</v>
      </c>
      <c r="AK15" s="41">
        <v>0</v>
      </c>
      <c r="AL15" s="41">
        <v>0</v>
      </c>
      <c r="AN15" s="35" t="str">
        <f t="shared" ref="AN15:AN17" si="2">CONCATENATE($AQ$2,E15,", '",F15,"' , '",G15,"' , '",I15,"',",J15," ,",K15,",",L15,",",M15,", ",N15," ,",O15,",",P15,",",Q15," ,",R15," ,",S15,",",T15,",",U15,",",V15,",",W15,",",X15,",",Y15,",",Z15,",",AA15,",",AB15,",",AC15,",",AD15,",",AE15,",",AF15,",",AG15,",",AH15,",",AI15,",",AJ15,",",AK15,",",AL15)</f>
        <v>EXECUTE [dbo].[PG_CI_AUTORIZACION] 0, 0, 0, 1002, 'RECURSO-PLANTA / 50$EXTRA' , 'EXT' , 'QA // RECURSO-PLANTA / 50$EXTRA #1002',1 ,1,25000,50000, 2 ,1,1,0 ,0 ,2,2,3,0,0,0,3,0,0,0,0,4,0,0,0,0,0,0,0,0</v>
      </c>
      <c r="AO15" s="15"/>
    </row>
    <row r="16" spans="1:43" s="1" customFormat="1" ht="12" x14ac:dyDescent="0.3">
      <c r="A16" s="10"/>
      <c r="B16" s="3">
        <v>0</v>
      </c>
      <c r="C16" s="3">
        <v>0</v>
      </c>
      <c r="D16" s="3">
        <v>0</v>
      </c>
      <c r="E16" s="18">
        <v>1003</v>
      </c>
      <c r="F16" s="11" t="s">
        <v>80</v>
      </c>
      <c r="G16" s="9" t="s">
        <v>72</v>
      </c>
      <c r="H16" s="32">
        <v>7</v>
      </c>
      <c r="I16" s="31" t="str">
        <f>CONCATENATE("QA // ",F16," #",E16)</f>
        <v>QA // RECURSO-PLANTA / 100$EXTRA #1003</v>
      </c>
      <c r="J16" s="18">
        <v>1</v>
      </c>
      <c r="K16" s="18">
        <v>1</v>
      </c>
      <c r="L16" s="37">
        <f t="shared" ref="L16:L17" si="3">M15</f>
        <v>50000</v>
      </c>
      <c r="M16" s="37">
        <v>100000</v>
      </c>
      <c r="N16" s="44">
        <v>2</v>
      </c>
      <c r="O16" s="42">
        <v>1</v>
      </c>
      <c r="P16" s="43">
        <v>1</v>
      </c>
      <c r="Q16" s="41">
        <v>0</v>
      </c>
      <c r="R16" s="41">
        <v>0</v>
      </c>
      <c r="S16" s="44">
        <v>2</v>
      </c>
      <c r="T16" s="42">
        <v>2</v>
      </c>
      <c r="U16" s="43">
        <v>3</v>
      </c>
      <c r="V16" s="41">
        <v>0</v>
      </c>
      <c r="W16" s="41">
        <v>0</v>
      </c>
      <c r="X16" s="44">
        <v>2</v>
      </c>
      <c r="Y16" s="42">
        <v>3</v>
      </c>
      <c r="Z16" s="43">
        <v>2</v>
      </c>
      <c r="AA16" s="41">
        <v>0</v>
      </c>
      <c r="AB16" s="41">
        <v>0</v>
      </c>
      <c r="AC16" s="44">
        <v>0</v>
      </c>
      <c r="AD16" s="42">
        <v>4</v>
      </c>
      <c r="AE16" s="41">
        <v>0</v>
      </c>
      <c r="AF16" s="41">
        <v>0</v>
      </c>
      <c r="AG16" s="41">
        <v>0</v>
      </c>
      <c r="AH16" s="44">
        <v>0</v>
      </c>
      <c r="AI16" s="42">
        <v>0</v>
      </c>
      <c r="AJ16" s="41">
        <v>0</v>
      </c>
      <c r="AK16" s="41">
        <v>0</v>
      </c>
      <c r="AL16" s="41">
        <v>0</v>
      </c>
      <c r="AN16" s="35" t="str">
        <f t="shared" si="2"/>
        <v>EXECUTE [dbo].[PG_CI_AUTORIZACION] 0, 0, 0, 1003, 'RECURSO-PLANTA / 100$EXTRA' , 'EXT' , 'QA // RECURSO-PLANTA / 100$EXTRA #1003',1 ,1,50000,100000, 2 ,1,1,0 ,0 ,2,2,3,0,0,2,3,2,0,0,0,4,0,0,0,0,0,0,0,0</v>
      </c>
      <c r="AO16" s="15"/>
    </row>
    <row r="17" spans="1:41" s="1" customFormat="1" ht="12" x14ac:dyDescent="0.3">
      <c r="A17" s="10"/>
      <c r="B17" s="3">
        <v>0</v>
      </c>
      <c r="C17" s="3">
        <v>0</v>
      </c>
      <c r="D17" s="3">
        <v>0</v>
      </c>
      <c r="E17" s="18">
        <v>1004</v>
      </c>
      <c r="F17" s="11" t="s">
        <v>81</v>
      </c>
      <c r="G17" s="9" t="s">
        <v>72</v>
      </c>
      <c r="H17" s="32">
        <v>7</v>
      </c>
      <c r="I17" s="31" t="str">
        <f>CONCATENATE("QA // ",F17," #",E17)</f>
        <v>QA // RECURSO-PLANTA / +100$EXTRA #1004</v>
      </c>
      <c r="J17" s="18">
        <v>1</v>
      </c>
      <c r="K17" s="18">
        <v>1</v>
      </c>
      <c r="L17" s="37">
        <f t="shared" si="3"/>
        <v>100000</v>
      </c>
      <c r="M17" s="37">
        <v>0</v>
      </c>
      <c r="N17" s="44">
        <v>2</v>
      </c>
      <c r="O17" s="42">
        <v>1</v>
      </c>
      <c r="P17" s="43">
        <v>1</v>
      </c>
      <c r="Q17" s="41">
        <v>0</v>
      </c>
      <c r="R17" s="41">
        <v>0</v>
      </c>
      <c r="S17" s="44">
        <v>2</v>
      </c>
      <c r="T17" s="42">
        <v>2</v>
      </c>
      <c r="U17" s="43">
        <v>3</v>
      </c>
      <c r="V17" s="41">
        <v>0</v>
      </c>
      <c r="W17" s="41">
        <v>0</v>
      </c>
      <c r="X17" s="44">
        <v>2</v>
      </c>
      <c r="Y17" s="42">
        <v>3</v>
      </c>
      <c r="Z17" s="43">
        <v>2</v>
      </c>
      <c r="AA17" s="41">
        <v>0</v>
      </c>
      <c r="AB17" s="41">
        <v>0</v>
      </c>
      <c r="AC17" s="44">
        <v>2</v>
      </c>
      <c r="AD17" s="42">
        <v>4</v>
      </c>
      <c r="AE17" s="43">
        <v>4</v>
      </c>
      <c r="AF17" s="41">
        <v>0</v>
      </c>
      <c r="AG17" s="41">
        <v>0</v>
      </c>
      <c r="AH17" s="44">
        <v>0</v>
      </c>
      <c r="AI17" s="42">
        <v>0</v>
      </c>
      <c r="AJ17" s="41">
        <v>0</v>
      </c>
      <c r="AK17" s="41">
        <v>0</v>
      </c>
      <c r="AL17" s="41">
        <v>0</v>
      </c>
      <c r="AN17" s="35" t="str">
        <f t="shared" si="2"/>
        <v>EXECUTE [dbo].[PG_CI_AUTORIZACION] 0, 0, 0, 1004, 'RECURSO-PLANTA / +100$EXTRA' , 'EXT' , 'QA // RECURSO-PLANTA / +100$EXTRA #1004',1 ,1,100000,0, 2 ,1,1,0 ,0 ,2,2,3,0,0,2,3,2,0,0,2,4,4,0,0,0,0,0,0,0</v>
      </c>
      <c r="AO17" s="15"/>
    </row>
    <row r="18" spans="1:41" s="1" customFormat="1" ht="12" x14ac:dyDescent="0.3">
      <c r="A18" s="10"/>
      <c r="B18" s="29"/>
      <c r="C18" s="29"/>
      <c r="D18" s="29"/>
      <c r="E18" s="30"/>
      <c r="F18" s="11"/>
      <c r="G18" s="9"/>
      <c r="H18" s="9"/>
      <c r="I18" s="11"/>
      <c r="J18" s="18"/>
      <c r="K18" s="18"/>
      <c r="L18" s="23"/>
      <c r="M18" s="23"/>
      <c r="N18" s="30"/>
      <c r="O18" s="34"/>
      <c r="P18" s="30"/>
      <c r="Q18" s="30"/>
      <c r="R18" s="30"/>
      <c r="S18" s="30"/>
      <c r="T18" s="34"/>
      <c r="U18" s="30"/>
      <c r="V18" s="30"/>
      <c r="W18" s="30"/>
      <c r="X18" s="30"/>
      <c r="Y18" s="34"/>
      <c r="Z18" s="30"/>
      <c r="AA18" s="30"/>
      <c r="AB18" s="30"/>
      <c r="AC18" s="30"/>
      <c r="AD18" s="34"/>
      <c r="AE18" s="30"/>
      <c r="AF18" s="30"/>
      <c r="AG18" s="30"/>
      <c r="AH18" s="30"/>
      <c r="AI18" s="34"/>
      <c r="AJ18" s="30"/>
      <c r="AK18" s="30"/>
      <c r="AL18" s="30"/>
      <c r="AN18" s="13"/>
      <c r="AO18" s="15"/>
    </row>
    <row r="19" spans="1:41" s="1" customFormat="1" ht="12" x14ac:dyDescent="0.3">
      <c r="A19" s="10"/>
      <c r="B19" s="29"/>
      <c r="C19" s="29"/>
      <c r="D19" s="29"/>
      <c r="E19" s="30"/>
      <c r="F19" s="11"/>
      <c r="G19" s="9"/>
      <c r="H19" s="9"/>
      <c r="I19" s="11"/>
      <c r="J19" s="18"/>
      <c r="K19" s="18"/>
      <c r="L19" s="23"/>
      <c r="M19" s="23"/>
      <c r="N19" s="30"/>
      <c r="O19" s="34"/>
      <c r="P19" s="30"/>
      <c r="Q19" s="30"/>
      <c r="R19" s="30"/>
      <c r="S19" s="30"/>
      <c r="T19" s="34"/>
      <c r="U19" s="30"/>
      <c r="V19" s="30"/>
      <c r="W19" s="30"/>
      <c r="X19" s="30"/>
      <c r="Y19" s="34"/>
      <c r="Z19" s="30"/>
      <c r="AA19" s="30"/>
      <c r="AB19" s="30"/>
      <c r="AC19" s="30"/>
      <c r="AD19" s="34"/>
      <c r="AE19" s="30"/>
      <c r="AF19" s="30"/>
      <c r="AG19" s="30"/>
      <c r="AH19" s="30"/>
      <c r="AI19" s="34"/>
      <c r="AJ19" s="30"/>
      <c r="AK19" s="30"/>
      <c r="AL19" s="30"/>
      <c r="AN19" s="13"/>
      <c r="AO19" s="15"/>
    </row>
    <row r="20" spans="1:41" s="1" customFormat="1" ht="12" x14ac:dyDescent="0.3">
      <c r="A20" s="10"/>
      <c r="B20" s="29"/>
      <c r="C20" s="29"/>
      <c r="D20" s="29"/>
      <c r="E20" s="30"/>
      <c r="F20" s="11"/>
      <c r="G20" s="9"/>
      <c r="H20" s="9"/>
      <c r="I20" s="11"/>
      <c r="J20" s="18"/>
      <c r="K20" s="18"/>
      <c r="L20" s="23"/>
      <c r="M20" s="23"/>
      <c r="N20" s="30"/>
      <c r="O20" s="34"/>
      <c r="P20" s="30"/>
      <c r="Q20" s="30"/>
      <c r="R20" s="30"/>
      <c r="S20" s="30"/>
      <c r="T20" s="34"/>
      <c r="U20" s="30"/>
      <c r="V20" s="30"/>
      <c r="W20" s="30"/>
      <c r="X20" s="30"/>
      <c r="Y20" s="34"/>
      <c r="Z20" s="30"/>
      <c r="AA20" s="30"/>
      <c r="AB20" s="30"/>
      <c r="AC20" s="30"/>
      <c r="AD20" s="34"/>
      <c r="AE20" s="30"/>
      <c r="AF20" s="30"/>
      <c r="AG20" s="30"/>
      <c r="AH20" s="30"/>
      <c r="AI20" s="34"/>
      <c r="AJ20" s="30"/>
      <c r="AK20" s="30"/>
      <c r="AL20" s="30"/>
      <c r="AN20" s="13"/>
      <c r="AO20" s="15"/>
    </row>
    <row r="21" spans="1:41" s="1" customFormat="1" ht="12" x14ac:dyDescent="0.3">
      <c r="A21" s="10"/>
      <c r="B21" s="29"/>
      <c r="C21" s="29"/>
      <c r="D21" s="29"/>
      <c r="E21" s="30"/>
      <c r="F21" s="11"/>
      <c r="G21" s="9"/>
      <c r="H21" s="9"/>
      <c r="I21" s="11"/>
      <c r="J21" s="18"/>
      <c r="K21" s="18"/>
      <c r="L21" s="23"/>
      <c r="M21" s="23"/>
      <c r="N21" s="30"/>
      <c r="O21" s="34"/>
      <c r="P21" s="30"/>
      <c r="Q21" s="30"/>
      <c r="R21" s="30"/>
      <c r="S21" s="30"/>
      <c r="T21" s="34"/>
      <c r="U21" s="30"/>
      <c r="V21" s="30"/>
      <c r="W21" s="30"/>
      <c r="X21" s="30"/>
      <c r="Y21" s="34"/>
      <c r="Z21" s="30"/>
      <c r="AA21" s="30"/>
      <c r="AB21" s="30"/>
      <c r="AC21" s="30"/>
      <c r="AD21" s="34"/>
      <c r="AE21" s="30"/>
      <c r="AF21" s="30"/>
      <c r="AG21" s="30"/>
      <c r="AH21" s="30"/>
      <c r="AI21" s="34"/>
      <c r="AJ21" s="30"/>
      <c r="AK21" s="30"/>
      <c r="AL21" s="30"/>
      <c r="AN21" s="13"/>
      <c r="AO21" s="15"/>
    </row>
  </sheetData>
  <autoFilter ref="A2:AQ6"/>
  <conditionalFormatting sqref="J2:XFD2 A2:H2">
    <cfRule type="beginsWith" dxfId="1" priority="2" operator="beginsWith" text="[K_">
      <formula>LEFT(A2,LEN("[K_"))="[K_"</formula>
    </cfRule>
  </conditionalFormatting>
  <conditionalFormatting sqref="I2">
    <cfRule type="beginsWith" dxfId="0" priority="1" operator="beginsWith" text="[K_">
      <formula>LEFT(I2,LEN("[K_"))="[K_"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CI_AUTORIZACION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la Rosa</dc:creator>
  <cp:lastModifiedBy>Hector A. Gonzalez</cp:lastModifiedBy>
  <dcterms:created xsi:type="dcterms:W3CDTF">2018-09-05T16:16:25Z</dcterms:created>
  <dcterms:modified xsi:type="dcterms:W3CDTF">2018-11-25T15:12:08Z</dcterms:modified>
</cp:coreProperties>
</file>