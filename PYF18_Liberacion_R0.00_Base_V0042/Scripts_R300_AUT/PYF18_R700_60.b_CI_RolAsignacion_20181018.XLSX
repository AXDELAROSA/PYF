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2018.PROYECTOS\2018.PYF18\PYF18_SQL\PYF18_Liberacion_R0.00_Base_V0022_20180920\Scripts_R700\"/>
    </mc:Choice>
  </mc:AlternateContent>
  <bookViews>
    <workbookView xWindow="0" yWindow="0" windowWidth="20490" windowHeight="7620" activeTab="1"/>
  </bookViews>
  <sheets>
    <sheet name="TABLA" sheetId="2" r:id="rId1"/>
    <sheet name="CI_" sheetId="1" r:id="rId2"/>
  </sheets>
  <definedNames>
    <definedName name="_xlnm._FilterDatabase" localSheetId="1" hidden="1">CI_!$A$1:$N$5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1" l="1"/>
  <c r="N1" i="1" l="1"/>
  <c r="K5" i="1" l="1"/>
  <c r="K6" i="1"/>
  <c r="K7" i="1"/>
  <c r="K4" i="1"/>
  <c r="K3" i="1"/>
  <c r="K2" i="1"/>
</calcChain>
</file>

<file path=xl/sharedStrings.xml><?xml version="1.0" encoding="utf-8"?>
<sst xmlns="http://schemas.openxmlformats.org/spreadsheetml/2006/main" count="36" uniqueCount="19">
  <si>
    <t>L_DEBUG</t>
  </si>
  <si>
    <t>K_SISTEMA_EXE</t>
  </si>
  <si>
    <t>K_USUARIO_ACCION</t>
  </si>
  <si>
    <t>X</t>
  </si>
  <si>
    <t>Tipo Dato</t>
  </si>
  <si>
    <t>Noombre Campo</t>
  </si>
  <si>
    <t>PK</t>
  </si>
  <si>
    <t xml:space="preserve">] </t>
  </si>
  <si>
    <t>-</t>
  </si>
  <si>
    <t>???</t>
  </si>
  <si>
    <t>EXECUTE [dbo].[PG_CI_</t>
  </si>
  <si>
    <t>INT</t>
  </si>
  <si>
    <t>ROL_ASIGNACION</t>
  </si>
  <si>
    <t>[K_ROL_ASIGNACION]</t>
  </si>
  <si>
    <t>[K_RAZON_SOCIAL]</t>
  </si>
  <si>
    <t>[K_UNIDAD_OPERATIVA]</t>
  </si>
  <si>
    <t>[K_ZONA_UO]</t>
  </si>
  <si>
    <t>[K_ROL_AUTORIZACION]</t>
  </si>
  <si>
    <t>[K_USUARIO]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</si>
</sst>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2" fillId="0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2" fillId="0" borderId="0" xfId="0" quotePrefix="1" applyFont="1" applyFill="1" applyAlignment="1">
      <alignment horizontal="center" vertical="center"/>
    </xf>
  </cellXfs>
  <cellStyles count="8">
    <cellStyle name="Comma 2" xfId="2"/>
    <cellStyle name="Millares 2" xfId="3"/>
    <cellStyle name="Millares 3" xfId="4"/>
    <cellStyle name="Millares 4" xfId="5"/>
    <cellStyle name="Moneda 2" xfId="6"/>
    <cellStyle name="Normal" xfId="0" builtinId="0"/>
    <cellStyle name="Normal 2" xfId="7"/>
    <cellStyle name="Normal 3" xfId="1"/>
  </cellStyles>
  <dxfs count="1"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9"/>
  <sheetViews>
    <sheetView workbookViewId="0">
      <selection activeCell="C14" sqref="C14"/>
    </sheetView>
  </sheetViews>
  <sheetFormatPr baseColWidth="10" defaultRowHeight="15" x14ac:dyDescent="0.25"/>
  <cols>
    <col min="1" max="1" width="20.85546875" style="4" customWidth="1"/>
    <col min="2" max="2" width="36.42578125" bestFit="1" customWidth="1"/>
    <col min="3" max="3" width="25.85546875" bestFit="1" customWidth="1"/>
  </cols>
  <sheetData>
    <row r="1" spans="1:4" x14ac:dyDescent="0.25">
      <c r="A1" s="20" t="s">
        <v>12</v>
      </c>
      <c r="B1" s="6"/>
      <c r="C1" s="6"/>
      <c r="D1" s="6"/>
    </row>
    <row r="3" spans="1:4" x14ac:dyDescent="0.25">
      <c r="A3" s="5" t="s">
        <v>6</v>
      </c>
      <c r="B3" t="s">
        <v>5</v>
      </c>
      <c r="C3" t="s">
        <v>4</v>
      </c>
    </row>
    <row r="4" spans="1:4" x14ac:dyDescent="0.25">
      <c r="A4" s="4" t="s">
        <v>3</v>
      </c>
      <c r="B4" t="s">
        <v>13</v>
      </c>
      <c r="C4" t="s">
        <v>11</v>
      </c>
    </row>
    <row r="5" spans="1:4" x14ac:dyDescent="0.25">
      <c r="B5" t="s">
        <v>14</v>
      </c>
      <c r="C5" t="s">
        <v>11</v>
      </c>
    </row>
    <row r="6" spans="1:4" x14ac:dyDescent="0.25">
      <c r="B6" t="s">
        <v>15</v>
      </c>
      <c r="C6" t="s">
        <v>11</v>
      </c>
    </row>
    <row r="7" spans="1:4" x14ac:dyDescent="0.25">
      <c r="B7" t="s">
        <v>16</v>
      </c>
      <c r="C7" t="s">
        <v>11</v>
      </c>
    </row>
    <row r="8" spans="1:4" x14ac:dyDescent="0.25">
      <c r="B8" t="s">
        <v>17</v>
      </c>
      <c r="C8" t="s">
        <v>11</v>
      </c>
    </row>
    <row r="9" spans="1:4" x14ac:dyDescent="0.25">
      <c r="B9" t="s">
        <v>18</v>
      </c>
      <c r="C9" t="s">
        <v>11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12"/>
  <sheetViews>
    <sheetView tabSelected="1" zoomScale="115" zoomScaleNormal="115" workbookViewId="0">
      <selection activeCell="G14" sqref="G14"/>
    </sheetView>
  </sheetViews>
  <sheetFormatPr baseColWidth="10" defaultRowHeight="15" x14ac:dyDescent="0.25"/>
  <cols>
    <col min="1" max="1" width="3.28515625" style="16" customWidth="1"/>
    <col min="2" max="4" width="4.140625" customWidth="1"/>
    <col min="5" max="5" width="17.5703125" style="19" bestFit="1" customWidth="1"/>
    <col min="6" max="6" width="23.28515625" style="12" customWidth="1"/>
    <col min="7" max="7" width="21.140625" style="12" customWidth="1"/>
    <col min="8" max="8" width="20.85546875" style="19" customWidth="1"/>
    <col min="9" max="9" width="17.5703125" style="19" bestFit="1" customWidth="1"/>
    <col min="10" max="10" width="8.42578125" customWidth="1"/>
    <col min="11" max="11" width="25.28515625" customWidth="1"/>
    <col min="12" max="12" width="17.42578125" style="15" customWidth="1"/>
  </cols>
  <sheetData>
    <row r="1" spans="1:14" s="22" customFormat="1" x14ac:dyDescent="0.25">
      <c r="A1" s="21" t="s">
        <v>9</v>
      </c>
      <c r="B1" s="22" t="s">
        <v>0</v>
      </c>
      <c r="C1" s="22" t="s">
        <v>1</v>
      </c>
      <c r="D1" s="22" t="s">
        <v>2</v>
      </c>
      <c r="E1" s="21" t="s">
        <v>13</v>
      </c>
      <c r="F1" s="21" t="s">
        <v>14</v>
      </c>
      <c r="G1" s="21" t="s">
        <v>15</v>
      </c>
      <c r="H1" s="21" t="s">
        <v>17</v>
      </c>
      <c r="I1" s="21" t="s">
        <v>18</v>
      </c>
      <c r="J1" s="23"/>
      <c r="K1" s="25" t="s">
        <v>10</v>
      </c>
      <c r="L1" s="24" t="str">
        <f>TABLA!A1</f>
        <v>ROL_ASIGNACION</v>
      </c>
      <c r="M1" s="22" t="s">
        <v>7</v>
      </c>
      <c r="N1" s="22" t="str">
        <f>CONCATENATE($K$1,$L$1,$M$1,B3, ", ", C3, ", ", D3, ", ", )</f>
        <v xml:space="preserve">EXECUTE [dbo].[PG_CI_ROL_ASIGNACION] 0, 0, 0, </v>
      </c>
    </row>
    <row r="2" spans="1:14" x14ac:dyDescent="0.25">
      <c r="A2" s="4"/>
      <c r="B2" s="8" t="s">
        <v>8</v>
      </c>
      <c r="C2" s="8" t="s">
        <v>8</v>
      </c>
      <c r="D2" s="8" t="s">
        <v>8</v>
      </c>
      <c r="E2" s="18" t="s">
        <v>8</v>
      </c>
      <c r="F2" s="11" t="s">
        <v>8</v>
      </c>
      <c r="G2" s="11" t="s">
        <v>8</v>
      </c>
      <c r="H2" s="18" t="s">
        <v>8</v>
      </c>
      <c r="I2" s="18" t="s">
        <v>8</v>
      </c>
      <c r="J2" s="1"/>
      <c r="K2" s="2" t="str">
        <f>"-- =========================================================="</f>
        <v>-- ==========================================================</v>
      </c>
      <c r="L2" s="13"/>
      <c r="M2" s="7"/>
      <c r="N2" s="1"/>
    </row>
    <row r="3" spans="1:14" s="13" customFormat="1" ht="12" x14ac:dyDescent="0.25">
      <c r="A3" s="26"/>
      <c r="B3" s="27">
        <v>0</v>
      </c>
      <c r="C3" s="27">
        <v>0</v>
      </c>
      <c r="D3" s="27">
        <v>0</v>
      </c>
      <c r="E3" s="28">
        <v>1</v>
      </c>
      <c r="F3" s="30">
        <v>1</v>
      </c>
      <c r="G3" s="30">
        <v>84</v>
      </c>
      <c r="H3" s="28">
        <v>1</v>
      </c>
      <c r="I3" s="28">
        <v>69</v>
      </c>
      <c r="K3" s="29" t="str">
        <f>CONCATENATE($N$1,E3,", ",F3," , ",G3," , ",H3," ,",I3)</f>
        <v>EXECUTE [dbo].[PG_CI_ROL_ASIGNACION] 0, 0, 0, 1, 1 , 84 , 1 ,69</v>
      </c>
      <c r="L3" s="14"/>
    </row>
    <row r="4" spans="1:14" s="13" customFormat="1" ht="12" x14ac:dyDescent="0.25">
      <c r="A4" s="26"/>
      <c r="B4" s="27">
        <v>0</v>
      </c>
      <c r="C4" s="27">
        <v>0</v>
      </c>
      <c r="D4" s="27">
        <v>0</v>
      </c>
      <c r="E4" s="28">
        <v>2</v>
      </c>
      <c r="F4" s="30">
        <v>2</v>
      </c>
      <c r="G4" s="30">
        <v>74</v>
      </c>
      <c r="H4" s="28">
        <v>1</v>
      </c>
      <c r="I4" s="28">
        <v>69</v>
      </c>
      <c r="K4" s="29" t="str">
        <f>CONCATENATE($N$1,E4,", ",F4," , ",G4," , ",H4," ,",I4)</f>
        <v>EXECUTE [dbo].[PG_CI_ROL_ASIGNACION] 0, 0, 0, 2, 2 , 74 , 1 ,69</v>
      </c>
      <c r="L4" s="14"/>
    </row>
    <row r="5" spans="1:14" s="13" customFormat="1" ht="12" x14ac:dyDescent="0.25">
      <c r="A5" s="26"/>
      <c r="B5" s="27">
        <v>0</v>
      </c>
      <c r="C5" s="27">
        <v>0</v>
      </c>
      <c r="D5" s="27">
        <v>0</v>
      </c>
      <c r="E5" s="28">
        <v>3</v>
      </c>
      <c r="F5" s="30">
        <v>6</v>
      </c>
      <c r="G5" s="30">
        <v>23</v>
      </c>
      <c r="H5" s="28">
        <v>2</v>
      </c>
      <c r="I5" s="28">
        <v>1002</v>
      </c>
      <c r="K5" s="29" t="str">
        <f>CONCATENATE($N$1,E5,", ",F5," , ",G5," , ",H5," ,",I5)</f>
        <v>EXECUTE [dbo].[PG_CI_ROL_ASIGNACION] 0, 0, 0, 3, 6 , 23 , 2 ,1002</v>
      </c>
      <c r="L5" s="14"/>
    </row>
    <row r="6" spans="1:14" s="1" customFormat="1" ht="12" x14ac:dyDescent="0.25">
      <c r="A6" s="10"/>
      <c r="B6" s="3">
        <v>0</v>
      </c>
      <c r="C6" s="3">
        <v>0</v>
      </c>
      <c r="D6" s="3">
        <v>0</v>
      </c>
      <c r="E6" s="17">
        <v>4</v>
      </c>
      <c r="F6" s="18">
        <v>16</v>
      </c>
      <c r="G6" s="18">
        <v>13</v>
      </c>
      <c r="H6" s="17">
        <v>0</v>
      </c>
      <c r="I6" s="17">
        <v>1003</v>
      </c>
      <c r="K6" s="29" t="str">
        <f>CONCATENATE($N$1,E6,", ",F6," , ",G6," , ",H6," ,",I6)</f>
        <v>EXECUTE [dbo].[PG_CI_ROL_ASIGNACION] 0, 0, 0, 4, 16 , 13 , 0 ,1003</v>
      </c>
      <c r="L6" s="14"/>
    </row>
    <row r="7" spans="1:14" s="1" customFormat="1" ht="12" x14ac:dyDescent="0.25">
      <c r="A7" s="10"/>
      <c r="B7" s="3">
        <v>0</v>
      </c>
      <c r="C7" s="3">
        <v>0</v>
      </c>
      <c r="D7" s="3">
        <v>0</v>
      </c>
      <c r="E7" s="17">
        <v>5</v>
      </c>
      <c r="F7" s="18">
        <v>28</v>
      </c>
      <c r="G7" s="18">
        <v>7</v>
      </c>
      <c r="H7" s="17">
        <v>2</v>
      </c>
      <c r="I7" s="17">
        <v>1002</v>
      </c>
      <c r="K7" s="29" t="str">
        <f>CONCATENATE($N$1,E7,", ",F7," , ",G7," , ",H7," ,",I7)</f>
        <v>EXECUTE [dbo].[PG_CI_ROL_ASIGNACION] 0, 0, 0, 5, 28 , 7 , 2 ,1002</v>
      </c>
      <c r="L7" s="14"/>
    </row>
    <row r="8" spans="1:14" s="1" customFormat="1" x14ac:dyDescent="0.25">
      <c r="A8" s="10"/>
      <c r="B8" s="3"/>
      <c r="C8" s="3"/>
      <c r="D8" s="3"/>
      <c r="E8" s="17"/>
      <c r="F8" s="11"/>
      <c r="G8" s="9"/>
      <c r="H8" s="17"/>
      <c r="I8" s="17"/>
      <c r="K8"/>
      <c r="L8" s="14"/>
    </row>
    <row r="9" spans="1:14" s="1" customFormat="1" x14ac:dyDescent="0.25">
      <c r="A9" s="10"/>
      <c r="B9" s="3"/>
      <c r="C9" s="3"/>
      <c r="D9" s="3"/>
      <c r="E9" s="17"/>
      <c r="F9" s="11"/>
      <c r="G9" s="9"/>
      <c r="H9" s="17"/>
      <c r="I9" s="17"/>
      <c r="K9"/>
      <c r="L9" s="14"/>
    </row>
    <row r="10" spans="1:14" s="1" customFormat="1" x14ac:dyDescent="0.25">
      <c r="A10" s="10"/>
      <c r="B10" s="3"/>
      <c r="C10" s="3"/>
      <c r="D10" s="3"/>
      <c r="E10" s="17"/>
      <c r="F10" s="11"/>
      <c r="G10" s="9"/>
      <c r="H10" s="17"/>
      <c r="I10" s="17"/>
      <c r="K10"/>
      <c r="L10" s="14"/>
    </row>
    <row r="11" spans="1:14" s="1" customFormat="1" x14ac:dyDescent="0.25">
      <c r="A11" s="10"/>
      <c r="B11" s="3"/>
      <c r="C11" s="3"/>
      <c r="D11" s="3"/>
      <c r="E11" s="17"/>
      <c r="F11" s="11"/>
      <c r="G11" s="9"/>
      <c r="H11" s="17"/>
      <c r="I11" s="17"/>
      <c r="K11"/>
      <c r="L11" s="14"/>
    </row>
    <row r="12" spans="1:14" s="1" customFormat="1" x14ac:dyDescent="0.25">
      <c r="A12" s="10"/>
      <c r="B12" s="3"/>
      <c r="C12" s="3"/>
      <c r="D12" s="3"/>
      <c r="E12" s="17"/>
      <c r="F12" s="11"/>
      <c r="G12" s="9"/>
      <c r="H12" s="17"/>
      <c r="I12" s="17"/>
      <c r="K12"/>
      <c r="L12" s="14"/>
    </row>
  </sheetData>
  <autoFilter ref="A1:N5"/>
  <conditionalFormatting sqref="A1:XFD1">
    <cfRule type="beginsWith" dxfId="0" priority="1" operator="beginsWith" text="[K_">
      <formula>LEFT(A1,LEN("[K_"))="[K_"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CI_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Alex de la Rosa</cp:lastModifiedBy>
  <dcterms:created xsi:type="dcterms:W3CDTF">2018-09-05T16:16:25Z</dcterms:created>
  <dcterms:modified xsi:type="dcterms:W3CDTF">2018-10-23T14:58:14Z</dcterms:modified>
</cp:coreProperties>
</file>