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.Tomza_HGF\TI_TecnologiaInformacion\2.Soluciones_TTi\PYF18_Finanzas\4.Construccion\CodigoSQL\PYF18_Liberacion_R0.00_Base_V0038b\Scripts_R800_AUT\"/>
    </mc:Choice>
  </mc:AlternateContent>
  <bookViews>
    <workbookView xWindow="0" yWindow="0" windowWidth="20496" windowHeight="7620" activeTab="1"/>
  </bookViews>
  <sheets>
    <sheet name="TABLA" sheetId="2" r:id="rId1"/>
    <sheet name="CI_" sheetId="1" r:id="rId2"/>
  </sheets>
  <definedNames>
    <definedName name="_xlnm._FilterDatabase" localSheetId="1" hidden="1">CI_!$A$1:$O$5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L14" i="1"/>
  <c r="L13" i="1"/>
  <c r="L12" i="1"/>
  <c r="L11" i="1"/>
  <c r="L10" i="1"/>
  <c r="E15" i="1"/>
  <c r="E14" i="1"/>
  <c r="E13" i="1"/>
  <c r="E12" i="1"/>
  <c r="E11" i="1"/>
  <c r="E10" i="1"/>
  <c r="E9" i="1"/>
  <c r="E17" i="1" l="1"/>
  <c r="M1" i="1"/>
  <c r="E18" i="1" l="1"/>
  <c r="O1" i="1"/>
  <c r="L9" i="1" l="1"/>
  <c r="L6" i="1"/>
  <c r="L5" i="1"/>
  <c r="L7" i="1"/>
  <c r="L4" i="1"/>
  <c r="L3" i="1"/>
  <c r="L16" i="1"/>
  <c r="L18" i="1"/>
  <c r="L17" i="1"/>
  <c r="L2" i="1"/>
</calcChain>
</file>

<file path=xl/sharedStrings.xml><?xml version="1.0" encoding="utf-8"?>
<sst xmlns="http://schemas.openxmlformats.org/spreadsheetml/2006/main" count="66" uniqueCount="48">
  <si>
    <t>L_DEBUG</t>
  </si>
  <si>
    <t>K_SISTEMA_EXE</t>
  </si>
  <si>
    <t>K_USUARIO_ACCION</t>
  </si>
  <si>
    <t>X</t>
  </si>
  <si>
    <t>Tipo Dato</t>
  </si>
  <si>
    <t>Noombre Campo</t>
  </si>
  <si>
    <t>PK</t>
  </si>
  <si>
    <t xml:space="preserve">] </t>
  </si>
  <si>
    <t>-</t>
  </si>
  <si>
    <t>???</t>
  </si>
  <si>
    <t>EXECUTE [dbo].[PG_CI_</t>
  </si>
  <si>
    <t>INT</t>
  </si>
  <si>
    <t>ROL_ASIGNACION</t>
  </si>
  <si>
    <t>[K_ROL_ASIGNACION]</t>
  </si>
  <si>
    <t>[K_RAZON_SOCIAL]</t>
  </si>
  <si>
    <t>[K_UNIDAD_OPERATIVA]</t>
  </si>
  <si>
    <t>[K_ZONA_UO]</t>
  </si>
  <si>
    <t>[K_ROL_AUTORIZACION]</t>
  </si>
  <si>
    <t>[K_USUARIO]</t>
  </si>
  <si>
    <t>PLA</t>
  </si>
  <si>
    <t>MCO</t>
  </si>
  <si>
    <t>FIN</t>
  </si>
  <si>
    <t>K_ZONA_UO</t>
  </si>
  <si>
    <t>D_ZONA_UO</t>
  </si>
  <si>
    <t>( PENDIENTE )</t>
  </si>
  <si>
    <t>BAJA CALIFORNIA</t>
  </si>
  <si>
    <t>CENTRO</t>
  </si>
  <si>
    <t>CHIHUAHUA</t>
  </si>
  <si>
    <t>JALISCO</t>
  </si>
  <si>
    <t>SONORA</t>
  </si>
  <si>
    <t>SURESTE</t>
  </si>
  <si>
    <t>CDMX</t>
  </si>
  <si>
    <t>EGR / BJA</t>
  </si>
  <si>
    <t>EGR / CEN</t>
  </si>
  <si>
    <t>EGR / CHI</t>
  </si>
  <si>
    <t>EGR / JAL</t>
  </si>
  <si>
    <t>EGR / SON</t>
  </si>
  <si>
    <t>EGR / SUR</t>
  </si>
  <si>
    <t>EGR / CDMX</t>
  </si>
  <si>
    <t>K_USUARIO</t>
  </si>
  <si>
    <t>D_USUARIO</t>
  </si>
  <si>
    <t>CHI &gt; QA/TESO</t>
  </si>
  <si>
    <t>JAL &gt; QA/TESO</t>
  </si>
  <si>
    <t>SUR &gt; QA/TESO</t>
  </si>
  <si>
    <t>MEX &gt; QA/TESO</t>
  </si>
  <si>
    <t>CEN &gt; QA/TESO</t>
  </si>
  <si>
    <t>SON &gt; QA/TESO</t>
  </si>
  <si>
    <t>BJA &gt; QA/TESO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</si>
</sst>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3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2" fillId="0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2" fillId="0" borderId="0" xfId="0" quotePrefix="1" applyFont="1" applyFill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/>
  </cellXfs>
  <cellStyles count="8">
    <cellStyle name="Comma 2" xfId="2"/>
    <cellStyle name="Millares 2" xfId="3"/>
    <cellStyle name="Millares 3" xfId="4"/>
    <cellStyle name="Millares 4" xfId="5"/>
    <cellStyle name="Moneda 2" xfId="6"/>
    <cellStyle name="Normal" xfId="0" builtinId="0"/>
    <cellStyle name="Normal 2" xfId="7"/>
    <cellStyle name="Normal 3" xfId="1"/>
  </cellStyles>
  <dxfs count="1">
    <dxf>
      <font>
        <b/>
        <i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9"/>
  <sheetViews>
    <sheetView workbookViewId="0">
      <selection activeCell="C14" sqref="C14"/>
    </sheetView>
  </sheetViews>
  <sheetFormatPr baseColWidth="10" defaultRowHeight="14.4" x14ac:dyDescent="0.3"/>
  <cols>
    <col min="1" max="1" width="20.88671875" style="4" customWidth="1"/>
    <col min="2" max="2" width="36.44140625" bestFit="1" customWidth="1"/>
    <col min="3" max="3" width="25.88671875" bestFit="1" customWidth="1"/>
  </cols>
  <sheetData>
    <row r="1" spans="1:4" x14ac:dyDescent="0.3">
      <c r="A1" s="20" t="s">
        <v>12</v>
      </c>
      <c r="B1" s="6"/>
      <c r="C1" s="6"/>
      <c r="D1" s="6"/>
    </row>
    <row r="3" spans="1:4" x14ac:dyDescent="0.3">
      <c r="A3" s="5" t="s">
        <v>6</v>
      </c>
      <c r="B3" t="s">
        <v>5</v>
      </c>
      <c r="C3" t="s">
        <v>4</v>
      </c>
    </row>
    <row r="4" spans="1:4" x14ac:dyDescent="0.3">
      <c r="A4" s="4" t="s">
        <v>3</v>
      </c>
      <c r="B4" t="s">
        <v>13</v>
      </c>
      <c r="C4" t="s">
        <v>11</v>
      </c>
    </row>
    <row r="5" spans="1:4" x14ac:dyDescent="0.3">
      <c r="B5" t="s">
        <v>14</v>
      </c>
      <c r="C5" t="s">
        <v>11</v>
      </c>
    </row>
    <row r="6" spans="1:4" x14ac:dyDescent="0.3">
      <c r="B6" t="s">
        <v>15</v>
      </c>
      <c r="C6" t="s">
        <v>11</v>
      </c>
    </row>
    <row r="7" spans="1:4" x14ac:dyDescent="0.3">
      <c r="B7" t="s">
        <v>16</v>
      </c>
      <c r="C7" t="s">
        <v>11</v>
      </c>
    </row>
    <row r="8" spans="1:4" x14ac:dyDescent="0.3">
      <c r="B8" t="s">
        <v>17</v>
      </c>
      <c r="C8" t="s">
        <v>11</v>
      </c>
    </row>
    <row r="9" spans="1:4" x14ac:dyDescent="0.3">
      <c r="B9" t="s">
        <v>18</v>
      </c>
      <c r="C9" t="s">
        <v>11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O30"/>
  <sheetViews>
    <sheetView tabSelected="1" zoomScale="115" zoomScaleNormal="11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11" sqref="I11"/>
    </sheetView>
  </sheetViews>
  <sheetFormatPr baseColWidth="10" defaultRowHeight="14.4" x14ac:dyDescent="0.3"/>
  <cols>
    <col min="1" max="1" width="3.33203125" style="16" customWidth="1"/>
    <col min="2" max="4" width="4.109375" customWidth="1"/>
    <col min="5" max="5" width="17.5546875" style="19" bestFit="1" customWidth="1"/>
    <col min="6" max="6" width="16.21875" style="19" customWidth="1"/>
    <col min="7" max="8" width="16.21875" style="12" customWidth="1"/>
    <col min="9" max="9" width="20.88671875" style="19" customWidth="1"/>
    <col min="10" max="10" width="13.33203125" style="19" customWidth="1"/>
    <col min="11" max="11" width="11" customWidth="1"/>
    <col min="12" max="12" width="25.33203125" customWidth="1"/>
    <col min="13" max="13" width="17.44140625" style="15" customWidth="1"/>
  </cols>
  <sheetData>
    <row r="1" spans="1:15" s="22" customFormat="1" x14ac:dyDescent="0.3">
      <c r="A1" s="21" t="s">
        <v>9</v>
      </c>
      <c r="B1" s="22" t="s">
        <v>0</v>
      </c>
      <c r="C1" s="22" t="s">
        <v>1</v>
      </c>
      <c r="D1" s="22" t="s">
        <v>2</v>
      </c>
      <c r="E1" s="21" t="s">
        <v>13</v>
      </c>
      <c r="F1" s="21" t="s">
        <v>16</v>
      </c>
      <c r="G1" s="21" t="s">
        <v>14</v>
      </c>
      <c r="H1" s="21" t="s">
        <v>15</v>
      </c>
      <c r="I1" s="21" t="s">
        <v>17</v>
      </c>
      <c r="J1" s="21" t="s">
        <v>18</v>
      </c>
      <c r="K1" s="23"/>
      <c r="L1" s="25" t="s">
        <v>10</v>
      </c>
      <c r="M1" s="24" t="str">
        <f>TABLA!A1</f>
        <v>ROL_ASIGNACION</v>
      </c>
      <c r="N1" s="22" t="s">
        <v>7</v>
      </c>
      <c r="O1" s="22" t="str">
        <f>CONCATENATE($L$1,$M$1,$N$1,B3, ", ", C3, ", ", D3, ", ", )</f>
        <v xml:space="preserve">EXECUTE [dbo].[PG_CI_ROL_ASIGNACION] 0, 0, 0, </v>
      </c>
    </row>
    <row r="2" spans="1:15" x14ac:dyDescent="0.3">
      <c r="A2" s="4"/>
      <c r="B2" s="8" t="s">
        <v>8</v>
      </c>
      <c r="C2" s="8" t="s">
        <v>8</v>
      </c>
      <c r="D2" s="8" t="s">
        <v>8</v>
      </c>
      <c r="E2" s="18" t="s">
        <v>8</v>
      </c>
      <c r="F2" s="18"/>
      <c r="G2" s="11" t="s">
        <v>8</v>
      </c>
      <c r="H2" s="11" t="s">
        <v>8</v>
      </c>
      <c r="I2" s="18" t="s">
        <v>8</v>
      </c>
      <c r="J2" s="18" t="s">
        <v>8</v>
      </c>
      <c r="K2" s="1"/>
      <c r="L2" s="2" t="str">
        <f>"-- =========================================================="</f>
        <v>-- ==========================================================</v>
      </c>
      <c r="M2" s="13"/>
      <c r="N2" s="7"/>
      <c r="O2" s="1"/>
    </row>
    <row r="3" spans="1:15" s="13" customFormat="1" ht="12" x14ac:dyDescent="0.3">
      <c r="A3" s="26"/>
      <c r="B3" s="27">
        <v>0</v>
      </c>
      <c r="C3" s="27">
        <v>0</v>
      </c>
      <c r="D3" s="27">
        <v>0</v>
      </c>
      <c r="E3" s="28">
        <v>1</v>
      </c>
      <c r="F3" s="31">
        <v>0</v>
      </c>
      <c r="G3" s="30">
        <v>1</v>
      </c>
      <c r="H3" s="30">
        <v>84</v>
      </c>
      <c r="I3" s="28">
        <v>1</v>
      </c>
      <c r="J3" s="28">
        <v>169</v>
      </c>
      <c r="L3" s="29" t="str">
        <f>CONCATENATE($O$1,E3,", ",F3,", ",G3," , ",H3," , ",I3," ,",J3)</f>
        <v>EXECUTE [dbo].[PG_CI_ROL_ASIGNACION] 0, 0, 0, 1, 0, 1 , 84 , 1 ,169</v>
      </c>
      <c r="M3" s="14"/>
    </row>
    <row r="4" spans="1:15" s="13" customFormat="1" ht="12" x14ac:dyDescent="0.3">
      <c r="A4" s="26"/>
      <c r="B4" s="27">
        <v>0</v>
      </c>
      <c r="C4" s="27">
        <v>0</v>
      </c>
      <c r="D4" s="27">
        <v>0</v>
      </c>
      <c r="E4" s="28">
        <v>2</v>
      </c>
      <c r="F4" s="31">
        <v>0</v>
      </c>
      <c r="G4" s="30">
        <v>2</v>
      </c>
      <c r="H4" s="30">
        <v>74</v>
      </c>
      <c r="I4" s="28">
        <v>1</v>
      </c>
      <c r="J4" s="28">
        <v>169</v>
      </c>
      <c r="L4" s="29" t="str">
        <f t="shared" ref="L4:L18" si="0">CONCATENATE($O$1,E4,", ",F4,", ",G4," , ",H4," , ",I4," ,",J4)</f>
        <v>EXECUTE [dbo].[PG_CI_ROL_ASIGNACION] 0, 0, 0, 2, 0, 2 , 74 , 1 ,169</v>
      </c>
      <c r="M4" s="14"/>
    </row>
    <row r="5" spans="1:15" s="13" customFormat="1" ht="12" x14ac:dyDescent="0.3">
      <c r="A5" s="26"/>
      <c r="B5" s="27">
        <v>0</v>
      </c>
      <c r="C5" s="27">
        <v>0</v>
      </c>
      <c r="D5" s="27">
        <v>0</v>
      </c>
      <c r="E5" s="28">
        <v>3</v>
      </c>
      <c r="F5" s="31">
        <v>0</v>
      </c>
      <c r="G5" s="30">
        <v>6</v>
      </c>
      <c r="H5" s="30">
        <v>23</v>
      </c>
      <c r="I5" s="28">
        <v>2</v>
      </c>
      <c r="J5" s="28">
        <v>111</v>
      </c>
      <c r="L5" s="29" t="str">
        <f t="shared" si="0"/>
        <v>EXECUTE [dbo].[PG_CI_ROL_ASIGNACION] 0, 0, 0, 3, 0, 6 , 23 , 2 ,111</v>
      </c>
      <c r="M5" s="14"/>
    </row>
    <row r="6" spans="1:15" s="1" customFormat="1" ht="12" x14ac:dyDescent="0.3">
      <c r="A6" s="10"/>
      <c r="B6" s="3">
        <v>0</v>
      </c>
      <c r="C6" s="3">
        <v>0</v>
      </c>
      <c r="D6" s="3">
        <v>0</v>
      </c>
      <c r="E6" s="17">
        <v>4</v>
      </c>
      <c r="F6" s="31">
        <v>0</v>
      </c>
      <c r="G6" s="18">
        <v>16</v>
      </c>
      <c r="H6" s="18">
        <v>13</v>
      </c>
      <c r="I6" s="17">
        <v>0</v>
      </c>
      <c r="J6" s="17">
        <v>122</v>
      </c>
      <c r="L6" s="29" t="str">
        <f t="shared" si="0"/>
        <v>EXECUTE [dbo].[PG_CI_ROL_ASIGNACION] 0, 0, 0, 4, 0, 16 , 13 , 0 ,122</v>
      </c>
      <c r="M6" s="14"/>
    </row>
    <row r="7" spans="1:15" s="1" customFormat="1" ht="12" x14ac:dyDescent="0.3">
      <c r="A7" s="10"/>
      <c r="B7" s="3">
        <v>0</v>
      </c>
      <c r="C7" s="3">
        <v>0</v>
      </c>
      <c r="D7" s="3">
        <v>0</v>
      </c>
      <c r="E7" s="17">
        <v>5</v>
      </c>
      <c r="F7" s="31">
        <v>0</v>
      </c>
      <c r="G7" s="18">
        <v>28</v>
      </c>
      <c r="H7" s="18">
        <v>7</v>
      </c>
      <c r="I7" s="17">
        <v>2</v>
      </c>
      <c r="J7" s="17">
        <v>133</v>
      </c>
      <c r="L7" s="29" t="str">
        <f t="shared" si="0"/>
        <v>EXECUTE [dbo].[PG_CI_ROL_ASIGNACION] 0, 0, 0, 5, 0, 28 , 7 , 2 ,133</v>
      </c>
      <c r="M7" s="14"/>
    </row>
    <row r="8" spans="1:15" s="1" customFormat="1" x14ac:dyDescent="0.3">
      <c r="A8" s="10"/>
      <c r="B8" s="3"/>
      <c r="C8" s="3"/>
      <c r="D8" s="3"/>
      <c r="E8" s="17"/>
      <c r="F8" s="17"/>
      <c r="G8" s="11"/>
      <c r="H8" s="9"/>
      <c r="I8" s="17"/>
      <c r="J8" s="17"/>
      <c r="L8"/>
      <c r="M8" s="14"/>
    </row>
    <row r="9" spans="1:15" s="1" customFormat="1" x14ac:dyDescent="0.3">
      <c r="A9" s="10"/>
      <c r="B9" s="3">
        <v>0</v>
      </c>
      <c r="C9" s="3">
        <v>0</v>
      </c>
      <c r="D9" s="3">
        <v>0</v>
      </c>
      <c r="E9" s="17">
        <f>1000+F9</f>
        <v>1010</v>
      </c>
      <c r="F9" s="32">
        <v>10</v>
      </c>
      <c r="G9" s="31">
        <v>0</v>
      </c>
      <c r="H9" s="31">
        <v>0</v>
      </c>
      <c r="I9" s="17">
        <v>1</v>
      </c>
      <c r="J9" s="4">
        <v>307</v>
      </c>
      <c r="K9" s="1" t="s">
        <v>32</v>
      </c>
      <c r="L9" s="29" t="str">
        <f t="shared" si="0"/>
        <v>EXECUTE [dbo].[PG_CI_ROL_ASIGNACION] 0, 0, 0, 1010, 10, 0 , 0 , 1 ,307</v>
      </c>
      <c r="M9" s="14"/>
    </row>
    <row r="10" spans="1:15" s="1" customFormat="1" x14ac:dyDescent="0.3">
      <c r="A10" s="10"/>
      <c r="B10" s="3">
        <v>0</v>
      </c>
      <c r="C10" s="3">
        <v>0</v>
      </c>
      <c r="D10" s="3">
        <v>0</v>
      </c>
      <c r="E10" s="17">
        <f t="shared" ref="E10:E15" si="1">1000+F10</f>
        <v>1020</v>
      </c>
      <c r="F10" s="32">
        <v>20</v>
      </c>
      <c r="G10" s="31">
        <v>0</v>
      </c>
      <c r="H10" s="31">
        <v>0</v>
      </c>
      <c r="I10" s="17">
        <v>1</v>
      </c>
      <c r="J10" s="4">
        <v>305</v>
      </c>
      <c r="K10" s="1" t="s">
        <v>33</v>
      </c>
      <c r="L10" s="29" t="str">
        <f t="shared" ref="L10:L13" si="2">CONCATENATE($O$1,E10,", ",F10,", ",G10," , ",H10," , ",I10," ,",J10)</f>
        <v>EXECUTE [dbo].[PG_CI_ROL_ASIGNACION] 0, 0, 0, 1020, 20, 0 , 0 , 1 ,305</v>
      </c>
      <c r="M10" s="14"/>
    </row>
    <row r="11" spans="1:15" s="1" customFormat="1" x14ac:dyDescent="0.3">
      <c r="A11" s="10"/>
      <c r="B11" s="3">
        <v>0</v>
      </c>
      <c r="C11" s="3">
        <v>0</v>
      </c>
      <c r="D11" s="3">
        <v>0</v>
      </c>
      <c r="E11" s="17">
        <f t="shared" si="1"/>
        <v>1030</v>
      </c>
      <c r="F11" s="32">
        <v>30</v>
      </c>
      <c r="G11" s="31">
        <v>0</v>
      </c>
      <c r="H11" s="31">
        <v>0</v>
      </c>
      <c r="I11" s="17">
        <v>1</v>
      </c>
      <c r="J11" s="4">
        <v>301</v>
      </c>
      <c r="K11" s="1" t="s">
        <v>34</v>
      </c>
      <c r="L11" s="29" t="str">
        <f t="shared" si="2"/>
        <v>EXECUTE [dbo].[PG_CI_ROL_ASIGNACION] 0, 0, 0, 1030, 30, 0 , 0 , 1 ,301</v>
      </c>
      <c r="M11" s="14"/>
    </row>
    <row r="12" spans="1:15" s="1" customFormat="1" x14ac:dyDescent="0.3">
      <c r="A12" s="10"/>
      <c r="B12" s="3">
        <v>0</v>
      </c>
      <c r="C12" s="3">
        <v>0</v>
      </c>
      <c r="D12" s="3">
        <v>0</v>
      </c>
      <c r="E12" s="17">
        <f t="shared" si="1"/>
        <v>1040</v>
      </c>
      <c r="F12" s="32">
        <v>40</v>
      </c>
      <c r="G12" s="31">
        <v>0</v>
      </c>
      <c r="H12" s="31">
        <v>0</v>
      </c>
      <c r="I12" s="17">
        <v>1</v>
      </c>
      <c r="J12" s="4">
        <v>302</v>
      </c>
      <c r="K12" s="1" t="s">
        <v>35</v>
      </c>
      <c r="L12" s="29" t="str">
        <f t="shared" si="2"/>
        <v>EXECUTE [dbo].[PG_CI_ROL_ASIGNACION] 0, 0, 0, 1040, 40, 0 , 0 , 1 ,302</v>
      </c>
      <c r="M12" s="14"/>
    </row>
    <row r="13" spans="1:15" s="1" customFormat="1" x14ac:dyDescent="0.3">
      <c r="A13" s="10"/>
      <c r="B13" s="3">
        <v>0</v>
      </c>
      <c r="C13" s="3">
        <v>0</v>
      </c>
      <c r="D13" s="3">
        <v>0</v>
      </c>
      <c r="E13" s="17">
        <f t="shared" si="1"/>
        <v>1050</v>
      </c>
      <c r="F13" s="32">
        <v>50</v>
      </c>
      <c r="G13" s="31">
        <v>0</v>
      </c>
      <c r="H13" s="31">
        <v>0</v>
      </c>
      <c r="I13" s="17">
        <v>1</v>
      </c>
      <c r="J13" s="4">
        <v>306</v>
      </c>
      <c r="K13" s="1" t="s">
        <v>36</v>
      </c>
      <c r="L13" s="29" t="str">
        <f t="shared" si="2"/>
        <v>EXECUTE [dbo].[PG_CI_ROL_ASIGNACION] 0, 0, 0, 1050, 50, 0 , 0 , 1 ,306</v>
      </c>
      <c r="M13" s="14"/>
    </row>
    <row r="14" spans="1:15" s="1" customFormat="1" x14ac:dyDescent="0.3">
      <c r="A14" s="10"/>
      <c r="B14" s="3">
        <v>0</v>
      </c>
      <c r="C14" s="3">
        <v>0</v>
      </c>
      <c r="D14" s="3">
        <v>0</v>
      </c>
      <c r="E14" s="17">
        <f t="shared" si="1"/>
        <v>1060</v>
      </c>
      <c r="F14" s="32">
        <v>60</v>
      </c>
      <c r="G14" s="31">
        <v>0</v>
      </c>
      <c r="H14" s="31">
        <v>0</v>
      </c>
      <c r="I14" s="17">
        <v>1</v>
      </c>
      <c r="J14" s="4">
        <v>303</v>
      </c>
      <c r="K14" s="1" t="s">
        <v>37</v>
      </c>
      <c r="L14" s="29" t="str">
        <f t="shared" ref="L14:L15" si="3">CONCATENATE($O$1,E14,", ",F14,", ",G14," , ",H14," , ",I14," ,",J14)</f>
        <v>EXECUTE [dbo].[PG_CI_ROL_ASIGNACION] 0, 0, 0, 1060, 60, 0 , 0 , 1 ,303</v>
      </c>
      <c r="M14" s="14"/>
    </row>
    <row r="15" spans="1:15" s="1" customFormat="1" x14ac:dyDescent="0.3">
      <c r="A15" s="10"/>
      <c r="B15" s="3">
        <v>0</v>
      </c>
      <c r="C15" s="3">
        <v>0</v>
      </c>
      <c r="D15" s="3">
        <v>0</v>
      </c>
      <c r="E15" s="17">
        <f t="shared" si="1"/>
        <v>1070</v>
      </c>
      <c r="F15" s="32">
        <v>70</v>
      </c>
      <c r="G15" s="31">
        <v>0</v>
      </c>
      <c r="H15" s="31">
        <v>0</v>
      </c>
      <c r="I15" s="17">
        <v>1</v>
      </c>
      <c r="J15" s="4">
        <v>304</v>
      </c>
      <c r="K15" s="1" t="s">
        <v>38</v>
      </c>
      <c r="L15" s="29" t="str">
        <f t="shared" si="3"/>
        <v>EXECUTE [dbo].[PG_CI_ROL_ASIGNACION] 0, 0, 0, 1070, 70, 0 , 0 , 1 ,304</v>
      </c>
      <c r="M15" s="14"/>
    </row>
    <row r="16" spans="1:15" s="1" customFormat="1" ht="12" x14ac:dyDescent="0.3">
      <c r="A16" s="10"/>
      <c r="B16" s="3">
        <v>0</v>
      </c>
      <c r="C16" s="3">
        <v>0</v>
      </c>
      <c r="D16" s="3">
        <v>0</v>
      </c>
      <c r="E16" s="17">
        <v>1101</v>
      </c>
      <c r="F16" s="31">
        <v>0</v>
      </c>
      <c r="G16" s="31">
        <v>0</v>
      </c>
      <c r="H16" s="31">
        <v>0</v>
      </c>
      <c r="I16" s="17">
        <v>2</v>
      </c>
      <c r="J16" s="17">
        <v>402</v>
      </c>
      <c r="K16" s="1" t="s">
        <v>19</v>
      </c>
      <c r="L16" s="29" t="str">
        <f t="shared" si="0"/>
        <v>EXECUTE [dbo].[PG_CI_ROL_ASIGNACION] 0, 0, 0, 1101, 0, 0 , 0 , 2 ,402</v>
      </c>
      <c r="M16" s="14"/>
    </row>
    <row r="17" spans="1:13" s="1" customFormat="1" ht="12" x14ac:dyDescent="0.3">
      <c r="A17" s="10"/>
      <c r="B17" s="3">
        <v>0</v>
      </c>
      <c r="C17" s="3">
        <v>0</v>
      </c>
      <c r="D17" s="3">
        <v>0</v>
      </c>
      <c r="E17" s="17">
        <f t="shared" ref="E16:E18" si="4">E16+1</f>
        <v>1102</v>
      </c>
      <c r="F17" s="31">
        <v>0</v>
      </c>
      <c r="G17" s="31">
        <v>0</v>
      </c>
      <c r="H17" s="31">
        <v>0</v>
      </c>
      <c r="I17" s="17">
        <v>3</v>
      </c>
      <c r="J17" s="17">
        <v>177</v>
      </c>
      <c r="K17" s="1" t="s">
        <v>20</v>
      </c>
      <c r="L17" s="29" t="str">
        <f t="shared" si="0"/>
        <v>EXECUTE [dbo].[PG_CI_ROL_ASIGNACION] 0, 0, 0, 1102, 0, 0 , 0 , 3 ,177</v>
      </c>
      <c r="M17" s="14"/>
    </row>
    <row r="18" spans="1:13" s="1" customFormat="1" ht="12" x14ac:dyDescent="0.3">
      <c r="A18" s="10"/>
      <c r="B18" s="3">
        <v>0</v>
      </c>
      <c r="C18" s="3">
        <v>0</v>
      </c>
      <c r="D18" s="3">
        <v>0</v>
      </c>
      <c r="E18" s="17">
        <f t="shared" si="4"/>
        <v>1103</v>
      </c>
      <c r="F18" s="31">
        <v>0</v>
      </c>
      <c r="G18" s="31">
        <v>0</v>
      </c>
      <c r="H18" s="31">
        <v>0</v>
      </c>
      <c r="I18" s="17">
        <v>4</v>
      </c>
      <c r="J18" s="17">
        <v>401</v>
      </c>
      <c r="K18" s="1" t="s">
        <v>21</v>
      </c>
      <c r="L18" s="29" t="str">
        <f t="shared" si="0"/>
        <v>EXECUTE [dbo].[PG_CI_ROL_ASIGNACION] 0, 0, 0, 1103, 0, 0 , 0 , 4 ,401</v>
      </c>
      <c r="M18" s="14"/>
    </row>
    <row r="22" spans="1:13" x14ac:dyDescent="0.3">
      <c r="F22" s="32" t="s">
        <v>22</v>
      </c>
      <c r="G22" s="33" t="s">
        <v>23</v>
      </c>
      <c r="H22" s="12" t="s">
        <v>39</v>
      </c>
      <c r="I22" s="19" t="s">
        <v>40</v>
      </c>
    </row>
    <row r="23" spans="1:13" x14ac:dyDescent="0.3">
      <c r="F23" s="32">
        <v>0</v>
      </c>
      <c r="G23" s="34" t="s">
        <v>24</v>
      </c>
    </row>
    <row r="24" spans="1:13" x14ac:dyDescent="0.3">
      <c r="F24" s="32">
        <v>10</v>
      </c>
      <c r="G24" s="34" t="s">
        <v>25</v>
      </c>
      <c r="H24" s="12">
        <v>307</v>
      </c>
      <c r="I24" s="19" t="s">
        <v>47</v>
      </c>
    </row>
    <row r="25" spans="1:13" x14ac:dyDescent="0.3">
      <c r="F25" s="32">
        <v>20</v>
      </c>
      <c r="G25" s="34" t="s">
        <v>26</v>
      </c>
      <c r="H25" s="12">
        <v>305</v>
      </c>
      <c r="I25" s="19" t="s">
        <v>45</v>
      </c>
    </row>
    <row r="26" spans="1:13" x14ac:dyDescent="0.3">
      <c r="F26" s="32">
        <v>30</v>
      </c>
      <c r="G26" s="34" t="s">
        <v>27</v>
      </c>
      <c r="H26" s="12">
        <v>301</v>
      </c>
      <c r="I26" s="19" t="s">
        <v>41</v>
      </c>
    </row>
    <row r="27" spans="1:13" x14ac:dyDescent="0.3">
      <c r="F27" s="32">
        <v>40</v>
      </c>
      <c r="G27" s="34" t="s">
        <v>28</v>
      </c>
      <c r="H27" s="12">
        <v>302</v>
      </c>
      <c r="I27" s="19" t="s">
        <v>42</v>
      </c>
    </row>
    <row r="28" spans="1:13" x14ac:dyDescent="0.3">
      <c r="F28" s="32">
        <v>50</v>
      </c>
      <c r="G28" s="34" t="s">
        <v>29</v>
      </c>
      <c r="H28" s="12">
        <v>306</v>
      </c>
      <c r="I28" s="19" t="s">
        <v>46</v>
      </c>
    </row>
    <row r="29" spans="1:13" x14ac:dyDescent="0.3">
      <c r="F29" s="32">
        <v>60</v>
      </c>
      <c r="G29" s="34" t="s">
        <v>30</v>
      </c>
      <c r="H29" s="12">
        <v>303</v>
      </c>
      <c r="I29" s="19" t="s">
        <v>43</v>
      </c>
    </row>
    <row r="30" spans="1:13" x14ac:dyDescent="0.3">
      <c r="F30" s="32">
        <v>70</v>
      </c>
      <c r="G30" s="34" t="s">
        <v>31</v>
      </c>
      <c r="H30" s="12">
        <v>304</v>
      </c>
      <c r="I30" s="19" t="s">
        <v>44</v>
      </c>
    </row>
  </sheetData>
  <autoFilter ref="A1:O5"/>
  <conditionalFormatting sqref="A1:XFD1">
    <cfRule type="beginsWith" dxfId="0" priority="1" operator="beginsWith" text="[K_">
      <formula>LEFT(A1,LEN("[K_"))="[K_"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CI_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Hector A. Gonzalez</cp:lastModifiedBy>
  <dcterms:created xsi:type="dcterms:W3CDTF">2018-09-05T16:16:25Z</dcterms:created>
  <dcterms:modified xsi:type="dcterms:W3CDTF">2018-11-24T15:20:43Z</dcterms:modified>
</cp:coreProperties>
</file>