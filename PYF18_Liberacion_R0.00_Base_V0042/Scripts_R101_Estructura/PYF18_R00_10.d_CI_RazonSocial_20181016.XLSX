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1.Tomza_HGF\TI_TecnologiaInformacion\Workbook\PYF18_Finanzas\4.Construccion\SQL_Server\PYF18_Liberacion_R0.00_Base_V0031\Scripts_R101\"/>
    </mc:Choice>
  </mc:AlternateContent>
  <bookViews>
    <workbookView xWindow="0" yWindow="0" windowWidth="9900" windowHeight="12252"/>
  </bookViews>
  <sheets>
    <sheet name="CI_RAZON_SOCIAL" sheetId="1" r:id="rId1"/>
    <sheet name="ERM EMPRESA" sheetId="2" r:id="rId2"/>
  </sheets>
  <definedNames>
    <definedName name="_xlnm._FilterDatabase" localSheetId="0" hidden="1">CI_RAZON_SOCIAL!$A$1:$V$83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V2" i="1" l="1"/>
  <c r="H29" i="1" l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28" i="1"/>
  <c r="V34" i="1"/>
  <c r="V5" i="1"/>
  <c r="V6" i="1"/>
  <c r="V7" i="1"/>
  <c r="V8" i="1"/>
  <c r="V9" i="1"/>
  <c r="V10" i="1"/>
  <c r="V11" i="1"/>
  <c r="V12" i="1"/>
  <c r="V13" i="1"/>
  <c r="V14" i="1"/>
  <c r="V15" i="1"/>
  <c r="V16" i="1"/>
  <c r="V17" i="1"/>
  <c r="V18" i="1"/>
  <c r="V19" i="1"/>
  <c r="V20" i="1"/>
  <c r="V21" i="1"/>
  <c r="V22" i="1"/>
  <c r="V23" i="1"/>
  <c r="V24" i="1"/>
  <c r="V25" i="1"/>
  <c r="V26" i="1"/>
  <c r="V27" i="1"/>
  <c r="V4" i="1"/>
  <c r="V3" i="1"/>
  <c r="V67" i="1" l="1"/>
  <c r="V59" i="1"/>
  <c r="V51" i="1"/>
  <c r="V43" i="1"/>
  <c r="V35" i="1"/>
  <c r="V82" i="1"/>
  <c r="V74" i="1"/>
  <c r="V66" i="1"/>
  <c r="V58" i="1"/>
  <c r="V50" i="1"/>
  <c r="V42" i="1"/>
  <c r="V57" i="1"/>
  <c r="V80" i="1"/>
  <c r="V72" i="1"/>
  <c r="V64" i="1"/>
  <c r="V56" i="1"/>
  <c r="V48" i="1"/>
  <c r="V40" i="1"/>
  <c r="V32" i="1"/>
  <c r="V65" i="1"/>
  <c r="V41" i="1"/>
  <c r="V79" i="1"/>
  <c r="V71" i="1"/>
  <c r="V63" i="1"/>
  <c r="V55" i="1"/>
  <c r="V47" i="1"/>
  <c r="V39" i="1"/>
  <c r="V31" i="1"/>
  <c r="V75" i="1"/>
  <c r="V73" i="1"/>
  <c r="V49" i="1"/>
  <c r="V78" i="1"/>
  <c r="V70" i="1"/>
  <c r="V62" i="1"/>
  <c r="V54" i="1"/>
  <c r="V46" i="1"/>
  <c r="V38" i="1"/>
  <c r="V30" i="1"/>
  <c r="V83" i="1"/>
  <c r="V81" i="1"/>
  <c r="V33" i="1"/>
  <c r="V77" i="1"/>
  <c r="V69" i="1"/>
  <c r="V61" i="1"/>
  <c r="V53" i="1"/>
  <c r="V45" i="1"/>
  <c r="V37" i="1"/>
  <c r="V29" i="1"/>
  <c r="V28" i="1"/>
  <c r="V76" i="1"/>
  <c r="V68" i="1"/>
  <c r="V60" i="1"/>
  <c r="V52" i="1"/>
  <c r="V44" i="1"/>
  <c r="V36" i="1"/>
  <c r="V1" i="1"/>
</calcChain>
</file>

<file path=xl/sharedStrings.xml><?xml version="1.0" encoding="utf-8"?>
<sst xmlns="http://schemas.openxmlformats.org/spreadsheetml/2006/main" count="648" uniqueCount="406">
  <si>
    <t xml:space="preserve">[dbo].[PG_CI_RAZON_SOCIAL] </t>
  </si>
  <si>
    <t>@PP_L_DEBUG</t>
  </si>
  <si>
    <t>@PP_K_SISTEMA_EXE</t>
  </si>
  <si>
    <t>@PP_K_RAZON_SOCIAL</t>
  </si>
  <si>
    <t>@PP_D_RAZON_SOCIAL</t>
  </si>
  <si>
    <t>@PP_S_RAZON_SOCIAL</t>
  </si>
  <si>
    <t>@PP_RAZON_SOCIAL</t>
  </si>
  <si>
    <t>@PP_RFC_RAZON_SOCIAL</t>
  </si>
  <si>
    <t>@PP_CURP</t>
  </si>
  <si>
    <t>@PP_CORREO</t>
  </si>
  <si>
    <t>@PP_TELEFONO</t>
  </si>
  <si>
    <t>@PP_CALLE</t>
  </si>
  <si>
    <t>@PP_NUMERO_EXTERIOR</t>
  </si>
  <si>
    <t>@PP_NUMERO_INTERIOR</t>
  </si>
  <si>
    <t>@PP_COLONIA</t>
  </si>
  <si>
    <t>@PP_POBLACION</t>
  </si>
  <si>
    <t>@PP_CP</t>
  </si>
  <si>
    <t>@PP_MUNICIPIO</t>
  </si>
  <si>
    <t>@PP_K_REGION</t>
  </si>
  <si>
    <t>COMPAÑIA IMPORTADORA DE GAS Y PETROLEO DEL GOLFO SA DE CV</t>
  </si>
  <si>
    <t>COMPAÑIA IMPORTADORA DE GAS Y PRETROLEO DE JUAREZ, SA DE CV</t>
  </si>
  <si>
    <t>COMPAÑIA MEXICANA DE GAS COMBUSTIBLE SA DE CV</t>
  </si>
  <si>
    <t>GAS BUTEP S.A. DE C.V.</t>
  </si>
  <si>
    <t>GAS CHAPULTEPEC S.A. DE C.V.</t>
  </si>
  <si>
    <t>GAS CHAPULTEPEC SA DE CV</t>
  </si>
  <si>
    <t>GAS COMERCIAL DE NUEVO CASAS GRANDES SA DE CV</t>
  </si>
  <si>
    <t>GAS COMERCIAL DE VILLA AHUMADA SA DE CV</t>
  </si>
  <si>
    <t>GAS DE TENABO S.A. DE C.V.</t>
  </si>
  <si>
    <t>GAS SILZA S.A. DE C.V.</t>
  </si>
  <si>
    <t>GAS TITANIUM S.A. DE C.V.</t>
  </si>
  <si>
    <t>GAS TOMZA DE MEXICO S.A. DE C.V.</t>
  </si>
  <si>
    <t>GAS TOMZA DE PUEBLA, SA DE CV</t>
  </si>
  <si>
    <t>GAS TOMZA DE YUCATAN S.A. DE C.V.</t>
  </si>
  <si>
    <t>GAS URIBE DE ACAPULCO SA DE CV</t>
  </si>
  <si>
    <t>GAS VULCANO SA DE CV</t>
  </si>
  <si>
    <t>GAS Y SERVICIO SA DE CV</t>
  </si>
  <si>
    <t>GAS ZARAGOZA EN OJINAGA S.A. DE C.V.</t>
  </si>
  <si>
    <t>GASOMATICO S.A. DE C.V.</t>
  </si>
  <si>
    <t>HIDRO GAS DE AGUA PRIETA SA DE CV</t>
  </si>
  <si>
    <t>HIDROGAS ACAPULCO SA DE CV</t>
  </si>
  <si>
    <t>HIDROGAS DE CHIHUAHUA S.A. DE C.V.</t>
  </si>
  <si>
    <t>HOLBOX GAS, S.A. DE C.V.</t>
  </si>
  <si>
    <t>INDUSTRIAS ZARAGOZA DIVISION PRODUCTOS METALICOS, S.A. DE C.V.</t>
  </si>
  <si>
    <t>MAMEME GAS, S.A. DE C.V.</t>
  </si>
  <si>
    <t>UNIGAS SA DE CV</t>
  </si>
  <si>
    <t>SIN ASIGNAR</t>
  </si>
  <si>
    <t>IGP160201NK5</t>
  </si>
  <si>
    <t>IGP160201P62</t>
  </si>
  <si>
    <t>MGC471027M17</t>
  </si>
  <si>
    <t>GBU7109148V4</t>
  </si>
  <si>
    <t>GCA5411048Z4</t>
  </si>
  <si>
    <t>GCN6105309I5</t>
  </si>
  <si>
    <t>GCV610502NY0</t>
  </si>
  <si>
    <t>GTE031106PU9</t>
  </si>
  <si>
    <t>GSI900821UG1</t>
  </si>
  <si>
    <t>GTI110912122</t>
  </si>
  <si>
    <t>GTM020909DJ2</t>
  </si>
  <si>
    <t>GPR960815HJA</t>
  </si>
  <si>
    <t>GTY030728BA4</t>
  </si>
  <si>
    <t>GUA8501025D6</t>
  </si>
  <si>
    <t>GVU9912072H9</t>
  </si>
  <si>
    <t>GSE520604IT5</t>
  </si>
  <si>
    <t>GZO8712026P7</t>
  </si>
  <si>
    <t>GAS710629HU3</t>
  </si>
  <si>
    <t>HGA7512092G9</t>
  </si>
  <si>
    <t>HAC8205109V4</t>
  </si>
  <si>
    <t>HCI8401303N0</t>
  </si>
  <si>
    <t>HGA0301158L7</t>
  </si>
  <si>
    <t>IZD830721361</t>
  </si>
  <si>
    <t>MGA0902271A0</t>
  </si>
  <si>
    <t>UGA810602EX1</t>
  </si>
  <si>
    <t>XXX000000XX0</t>
  </si>
  <si>
    <t>AV SAN FELIPE</t>
  </si>
  <si>
    <t>KM 22.5 AUTOPISTA MEXICO PUEBLA</t>
  </si>
  <si>
    <t>AV. MORELOS</t>
  </si>
  <si>
    <t>SIDERURGIA</t>
  </si>
  <si>
    <t>C SUECO KM 189 42</t>
  </si>
  <si>
    <t>CARR PANAMERICA KM 17</t>
  </si>
  <si>
    <t>CARRETERA CAMPECHE MERIDA KM 35 MAS 200</t>
  </si>
  <si>
    <t>CARRETERA A TECATE KM 27.5</t>
  </si>
  <si>
    <t>SAN ISIDRO LA SOLEDAD KM. 19.8</t>
  </si>
  <si>
    <t>PARQUE INDUSTRIAL TEPEJI LT 183 MZ 24</t>
  </si>
  <si>
    <t>KM. 134.8 AUTOPISTA MEXICO-ORIZABA</t>
  </si>
  <si>
    <t>CARRETERA UMAN KINCHIL KM 15 MAS 500</t>
  </si>
  <si>
    <t>BOULEVARD TOMAS FERNANDEZ</t>
  </si>
  <si>
    <t>CARR. AL FRESNITO KM</t>
  </si>
  <si>
    <t>AV SAN JOSE</t>
  </si>
  <si>
    <t>JUSTO SIERRA</t>
  </si>
  <si>
    <t>AV. SAN JOSE</t>
  </si>
  <si>
    <t>CARRETERA A NACOZARI KM. 5 1.2</t>
  </si>
  <si>
    <t>AV. FUENTES MARES KM. 1</t>
  </si>
  <si>
    <t>AV. INDUSTRIAL MANZANA 27</t>
  </si>
  <si>
    <t>CARR. PANAMERICANA</t>
  </si>
  <si>
    <t>CARRETERA TALA SANTA CRUZ KM 7.40</t>
  </si>
  <si>
    <t>S/N</t>
  </si>
  <si>
    <t>SN</t>
  </si>
  <si>
    <t>11B</t>
  </si>
  <si>
    <t>BIS</t>
  </si>
  <si>
    <t>LOTE 06</t>
  </si>
  <si>
    <t>KM 17</t>
  </si>
  <si>
    <t>SAN FELIPE II</t>
  </si>
  <si>
    <t>SANTA CATARINA YECAHUIZOTL</t>
  </si>
  <si>
    <t>CENTRO</t>
  </si>
  <si>
    <t>INDUSTRIAL XALOSTOC</t>
  </si>
  <si>
    <t>OBRERA</t>
  </si>
  <si>
    <t>AMPLIACION AEROPUERTO</t>
  </si>
  <si>
    <t>SIN COLONIA</t>
  </si>
  <si>
    <t>LA MESA</t>
  </si>
  <si>
    <t>N/D</t>
  </si>
  <si>
    <t>PARQUE INDUSTRIAL TEPEJI</t>
  </si>
  <si>
    <t>PARQUE INDUSTRIAL SAN FELIPE CHACHAPA</t>
  </si>
  <si>
    <t>LOS PARQUES</t>
  </si>
  <si>
    <t>LAZARO CARDENAS</t>
  </si>
  <si>
    <t>LINDA VISTA</t>
  </si>
  <si>
    <t>SAN JUAN IXHUATEPEC</t>
  </si>
  <si>
    <t>EJIDAL</t>
  </si>
  <si>
    <t>SANTA ROSA</t>
  </si>
  <si>
    <t>REG 97</t>
  </si>
  <si>
    <t>NUEVO HIPODROMO</t>
  </si>
  <si>
    <t>SAN JUAN DE LOS ARCOS</t>
  </si>
  <si>
    <t>LA PRESA</t>
  </si>
  <si>
    <t>CHIHUAHUA</t>
  </si>
  <si>
    <t>TLAHUAC</t>
  </si>
  <si>
    <t>TEPATITLAN</t>
  </si>
  <si>
    <t>ECATEPEC DE MORELOS</t>
  </si>
  <si>
    <t>NUEVO CASAS GRANDES</t>
  </si>
  <si>
    <t>JUAREZ</t>
  </si>
  <si>
    <t>TENABO</t>
  </si>
  <si>
    <t>TIJUANA</t>
  </si>
  <si>
    <t>PALO ALTO</t>
  </si>
  <si>
    <t>TEPEJI DEL RIO</t>
  </si>
  <si>
    <t>AMOZOC</t>
  </si>
  <si>
    <t>SAMAHIL</t>
  </si>
  <si>
    <t>CD GUZMAN</t>
  </si>
  <si>
    <t>HERMILIO MENA</t>
  </si>
  <si>
    <t>OJINAGA</t>
  </si>
  <si>
    <t>TLALNEPANTLA DE BAZ</t>
  </si>
  <si>
    <t>AGUA PRIETA</t>
  </si>
  <si>
    <t>BENITO JUAREZ</t>
  </si>
  <si>
    <t>CD JUAREZ</t>
  </si>
  <si>
    <t>TALA</t>
  </si>
  <si>
    <t>TLALNEPANTLA</t>
  </si>
  <si>
    <t>EL LLANO</t>
  </si>
  <si>
    <t>TEPEJI DEL RIO DE OCAMPO</t>
  </si>
  <si>
    <t>ZAPOTLAN EL GRANDE</t>
  </si>
  <si>
    <t xml:space="preserve">HOLBOX </t>
  </si>
  <si>
    <t>UNIGAS</t>
  </si>
  <si>
    <t>MEXICANA DE GAS</t>
  </si>
  <si>
    <t>GAS Y SERVICIO</t>
  </si>
  <si>
    <t>GASOMATICO</t>
  </si>
  <si>
    <t>INZA</t>
  </si>
  <si>
    <t>BUTEP</t>
  </si>
  <si>
    <t>CHAPU</t>
  </si>
  <si>
    <t>GSILZ</t>
  </si>
  <si>
    <t>GTMEX</t>
  </si>
  <si>
    <t>GTPUE</t>
  </si>
  <si>
    <t>TITAN</t>
  </si>
  <si>
    <t>GTYUC</t>
  </si>
  <si>
    <t>URIBE</t>
  </si>
  <si>
    <t>VULCN</t>
  </si>
  <si>
    <t>GASYS</t>
  </si>
  <si>
    <t>GSOMA</t>
  </si>
  <si>
    <t>HOLBX</t>
  </si>
  <si>
    <t>MAMEM</t>
  </si>
  <si>
    <t>UNIGS</t>
  </si>
  <si>
    <t>HICHI</t>
  </si>
  <si>
    <t>HIACA</t>
  </si>
  <si>
    <t>HIAGP</t>
  </si>
  <si>
    <t>GZAOJ</t>
  </si>
  <si>
    <t>GSLZA</t>
  </si>
  <si>
    <t>GCVAH</t>
  </si>
  <si>
    <t>GCNCG</t>
  </si>
  <si>
    <t>MEXGS</t>
  </si>
  <si>
    <t>GYPJZ</t>
  </si>
  <si>
    <t>GYPGF</t>
  </si>
  <si>
    <t>XXXXX</t>
  </si>
  <si>
    <t>( SIN RAZON SOCIAL )</t>
  </si>
  <si>
    <t>GAS Y PETROLEO / GOLFO</t>
  </si>
  <si>
    <t>GAS Y PRETROLEO / JUAREZ</t>
  </si>
  <si>
    <t>GAS COMERCIAL / NUEVO CASAS GRANDES</t>
  </si>
  <si>
    <t>GAS COMERCIAL / VILLA AHUMADA</t>
  </si>
  <si>
    <t>HIDROGAS / AGUA PRIETA</t>
  </si>
  <si>
    <t>HIDROGAS / ACAPULCO</t>
  </si>
  <si>
    <t>HIDROGAS / CHIHUAHUA</t>
  </si>
  <si>
    <t>AEROSILZA S.A. DE C.V.</t>
  </si>
  <si>
    <t>AEROTOMZA S.A. DE C.V.</t>
  </si>
  <si>
    <t>APPLEMEX S.A. DE C.V.</t>
  </si>
  <si>
    <t>ASESORIA Y SERVICIOS PROFECIONALES TECNICOS Y ADMINISTRATIVOS S.A. DE C.V.</t>
  </si>
  <si>
    <t>COLECCION ARTISTICA SILZA S.A DE C.V.</t>
  </si>
  <si>
    <t>COMPAÑIA MEXICANA DE GAS COMBUSTIBLE S.A. DE C.V.</t>
  </si>
  <si>
    <t>COMPAÑIA MEXICANA DE GAS COMBUSTIBLE S.A. DE C.V. TEHUACAN</t>
  </si>
  <si>
    <t>DESARROLLOS ESMERALDA S.A. DE C.V.</t>
  </si>
  <si>
    <t>ESTACIONES DE SERVICIO SILZA S.A. DE C.V.</t>
  </si>
  <si>
    <t>GAS BUTEP S.A.</t>
  </si>
  <si>
    <t>GAS COMERCIAL DE NUEVO CASAS GRANDES S.A. DE C.V.</t>
  </si>
  <si>
    <t>GAS COMERCIAL DE VILLA AHUMADA S.A. DE C.V.</t>
  </si>
  <si>
    <t>GAS DEL PACIFICO S.A. DE C.V.</t>
  </si>
  <si>
    <t>GAS TOMZA DE PUEBLA S.A. DE C.V.</t>
  </si>
  <si>
    <t>GAS SILZA  S.A. DE C.V.</t>
  </si>
  <si>
    <t>GAS SILZA DE MEXICO S.A. DE C.V.</t>
  </si>
  <si>
    <t>GAS TOMZA DE LA LAGUNA S.A. DE C.V.</t>
  </si>
  <si>
    <t>GAS TOMZA DEL CARIBE S.A. DE C.V.</t>
  </si>
  <si>
    <t>GAS URIBE DE ACAPULCO S.A. DE C.V.</t>
  </si>
  <si>
    <t>GAS VEHICULAR SILZA S.A. DE C.V.</t>
  </si>
  <si>
    <t>GAS Y SERVICIO S.A. DE C.V.</t>
  </si>
  <si>
    <t>HIDROGAS  ACAPULCO S.A. DE C.V.</t>
  </si>
  <si>
    <t>HIDROGAS DE OJINAGA S.A. DE CV</t>
  </si>
  <si>
    <t>INDUSTRIAS ZARAGOZA DIVISION PRODUCTOS METALICOS S.A. DE C.V.</t>
  </si>
  <si>
    <t>INMOBILIARIA DE MEXICO GINZA S.A. DE C.V.</t>
  </si>
  <si>
    <t>INMOBILIARIA LOS MEDANOS S.A. DE C.V.</t>
  </si>
  <si>
    <t>INMOBILIARIA SILZA S.A. DE C.V.</t>
  </si>
  <si>
    <t>INMOBILIARIA TOMZA S.A. DE C.V.</t>
  </si>
  <si>
    <t>INMOBILIARIA ZARAGOZA ITO S.A. DE C.V.</t>
  </si>
  <si>
    <t>HIDROGAS DE AGUA PRIETA SA</t>
  </si>
  <si>
    <t>SR. ENRIQUE ZARAGOZA ITO.</t>
  </si>
  <si>
    <t>SR. TOMAS ZARAGOZA FUENTES.</t>
  </si>
  <si>
    <t>SR. TOMAS ZARAGOZA ITO.</t>
  </si>
  <si>
    <t>SRITA. SILVIA ZARAGOZA ITO.</t>
  </si>
  <si>
    <t>TRANSPORTADORA SILZA S.A. DE C.V.</t>
  </si>
  <si>
    <t>UNIGAS S.A. DE C.V.</t>
  </si>
  <si>
    <t>CORPORACION TOMZA</t>
  </si>
  <si>
    <t>GAS TOMZA DE YUCATAN SA DE CV</t>
  </si>
  <si>
    <t>HOLBOX GAS SA DE CV</t>
  </si>
  <si>
    <t>GAS VULCANO S.A. DE C.V.</t>
  </si>
  <si>
    <t>CARRETREA A FRESNITO KM 4 + 570 CD. GUZMAN COL. CENTRO  C.P. 49000</t>
  </si>
  <si>
    <t>GVU9912070H9</t>
  </si>
  <si>
    <t>SUN CITY VENTURES LLC</t>
  </si>
  <si>
    <t>201 E MAIN STREET STE 601 EL PASO, TX. 79901</t>
  </si>
  <si>
    <t>AMERICAN AIR LODGE LP</t>
  </si>
  <si>
    <t>6915 BOEING DRIVE EL PASO TX. 79925</t>
  </si>
  <si>
    <t>CORPRACION E INVERSIONES TOMZA DE MEXICO SA DE CV</t>
  </si>
  <si>
    <t>GAS TOMZA DE VERACRUZ,S.A. DE C.V.</t>
  </si>
  <si>
    <t>PALMA SOLA NO. 8 FRACC. DEL NORTE DE VERACRUZ C.P. 91808 VERACRUZ,VER.</t>
  </si>
  <si>
    <t>GTV020909KA9</t>
  </si>
  <si>
    <t>TERMINAL MARITIMA GAS TOMZA, S.A. DE C.V.</t>
  </si>
  <si>
    <t>DOM. CONOCIDO RANCHO EL LOCAL S/N</t>
  </si>
  <si>
    <t>TMG050802I47</t>
  </si>
  <si>
    <t>INMOBILIARES TERMINALES DE GAS, S.A. DE C.V.</t>
  </si>
  <si>
    <t>DOMICILIO CONOCIDO S</t>
  </si>
  <si>
    <t>INMOBILIARIA TERMINALES DE GAS, S.A. DE C.V.</t>
  </si>
  <si>
    <t>SRA. MELINA SAMANTHA SANCHEZ SANTILLANA</t>
  </si>
  <si>
    <t>FUNDACION ALBERTO ZARAGOZA A.C.</t>
  </si>
  <si>
    <t>INMOBILIARIA ERNESIL SA DE CV</t>
  </si>
  <si>
    <t>IER090708TW8</t>
  </si>
  <si>
    <t>INMOBILIARIA UNIGAS SA DE CV</t>
  </si>
  <si>
    <t>IUN090708C29</t>
  </si>
  <si>
    <t>SILVIA ITO VARELA</t>
  </si>
  <si>
    <t>MAMEME GAS SA DE CV</t>
  </si>
  <si>
    <t>TRANSPORTADORA SILZA USA INC</t>
  </si>
  <si>
    <t>FUNDACION ALBERTO ZARAGOZA AC</t>
  </si>
  <si>
    <t>INMOBILIAIRA EZI SA DE CV</t>
  </si>
  <si>
    <t>NA</t>
  </si>
  <si>
    <t>INMOBILIARIA EZI S.A. DE C.V.</t>
  </si>
  <si>
    <t>ND</t>
  </si>
  <si>
    <t>TOMZAJET S.A. DE C.V.</t>
  </si>
  <si>
    <t xml:space="preserve">TRANSPORTADORA TOMZA SA DE CV </t>
  </si>
  <si>
    <t>PANAMERICANA KM17</t>
  </si>
  <si>
    <t>TTO1406045Z5</t>
  </si>
  <si>
    <t>GINZA HOLDING INC</t>
  </si>
  <si>
    <t>303 N OREGON ST STE 230</t>
  </si>
  <si>
    <t xml:space="preserve">INMOBILIARIA AVANCE DEL NORTE SA DE CV </t>
  </si>
  <si>
    <t>CARR PANAMERICANA 7735</t>
  </si>
  <si>
    <t>IAN0603237V0</t>
  </si>
  <si>
    <t>INMOBILIARIA INDUSTRIAL Y FABRIL SA DE CV</t>
  </si>
  <si>
    <t>CARR PANAMERICANA KM 17.5</t>
  </si>
  <si>
    <t>IIF710726E33</t>
  </si>
  <si>
    <t xml:space="preserve">PETROLEOS Y GAS DEL GOLFO SA DE CV </t>
  </si>
  <si>
    <t>PANAMERICANA KM 17</t>
  </si>
  <si>
    <t>PGG1602012Q3</t>
  </si>
  <si>
    <t xml:space="preserve">PETROLEOS Y GAS DEL NORTE SA DE CV </t>
  </si>
  <si>
    <t>PGN1603079Q3</t>
  </si>
  <si>
    <t>TOMAS RAUL ZARAGOZA IBARRA</t>
  </si>
  <si>
    <t xml:space="preserve">CARR PANAMERICANA KM 17 </t>
  </si>
  <si>
    <t>ZAIT920213EU4</t>
  </si>
  <si>
    <t>CARR PANAMERICANA KM 17</t>
  </si>
  <si>
    <t xml:space="preserve">CIA IMP DE GAS Y PETROLEO DE JUAREZ SA DE CV </t>
  </si>
  <si>
    <t xml:space="preserve">CIA IMP DE GAS Y PETROLEO DE TIJUANA SA DE CV </t>
  </si>
  <si>
    <t xml:space="preserve">CIA IMP DE GAS Y PETROLEO DEL GOLFO SA DE CV </t>
  </si>
  <si>
    <t xml:space="preserve">COMPAÑIA ESPECIALIZADA TAO SA DE CV </t>
  </si>
  <si>
    <t>SAN FELIPE 807 SAN FELIPE II CHIH CHIH</t>
  </si>
  <si>
    <t>ETA160829LZA</t>
  </si>
  <si>
    <t>COMPAÑIA IMPORTADORA DE GAS Y PETROLEO S.A DE C.V.</t>
  </si>
  <si>
    <t xml:space="preserve">GAS TITANIUM SA DE CV </t>
  </si>
  <si>
    <t>SAN ISIDRO LA SOLEDAD 19.8 KM</t>
  </si>
  <si>
    <t>GAS TOMZA DE SINALOA, S.A DE C.V.</t>
  </si>
  <si>
    <t>BOULEVARD JIQUILPAN NUM 1393 CALLE RIO PRESIDIO COL SCALLY LOS MOCHIS SIN.</t>
  </si>
  <si>
    <t>GTS170327JI0</t>
  </si>
  <si>
    <t>GAS TITANIUM S.A DE C.V.</t>
  </si>
  <si>
    <t>HELITOMZA SA DE CV</t>
  </si>
  <si>
    <t>CARR PANAMERICANA KM17 CP 32685</t>
  </si>
  <si>
    <t>HEL170330393</t>
  </si>
  <si>
    <t>idEmpresa</t>
  </si>
  <si>
    <t>nombreEmpresa</t>
  </si>
  <si>
    <t>domicilioEmpresa</t>
  </si>
  <si>
    <t>RFCEmpresa</t>
  </si>
  <si>
    <t>activo</t>
  </si>
  <si>
    <t>AEROS</t>
  </si>
  <si>
    <t>AEROT</t>
  </si>
  <si>
    <t>APPMX</t>
  </si>
  <si>
    <t>ASPTA</t>
  </si>
  <si>
    <t>CARTS</t>
  </si>
  <si>
    <t>MEXTE</t>
  </si>
  <si>
    <t>ESMER</t>
  </si>
  <si>
    <t>SERVS</t>
  </si>
  <si>
    <t>GSPAC</t>
  </si>
  <si>
    <t>GSILM</t>
  </si>
  <si>
    <t>GTLAG</t>
  </si>
  <si>
    <t>GTCAR</t>
  </si>
  <si>
    <t>GVSIL</t>
  </si>
  <si>
    <t>HOJIN</t>
  </si>
  <si>
    <t>IMGIN</t>
  </si>
  <si>
    <t>IMEDA</t>
  </si>
  <si>
    <t>ISILZ</t>
  </si>
  <si>
    <t>ITOMZ</t>
  </si>
  <si>
    <t>IZARZ</t>
  </si>
  <si>
    <t>ENZAI</t>
  </si>
  <si>
    <t>TOZAF</t>
  </si>
  <si>
    <t>TOZAI</t>
  </si>
  <si>
    <t>SIZAI</t>
  </si>
  <si>
    <t>TRSIL</t>
  </si>
  <si>
    <t>CORTZ</t>
  </si>
  <si>
    <t>SCVEN</t>
  </si>
  <si>
    <t>AMEAL</t>
  </si>
  <si>
    <t>CITMX</t>
  </si>
  <si>
    <t>GTVCZ</t>
  </si>
  <si>
    <t>TMGTZ</t>
  </si>
  <si>
    <t>ITERG</t>
  </si>
  <si>
    <t>MESSS</t>
  </si>
  <si>
    <t>FALZA</t>
  </si>
  <si>
    <t>IERNE</t>
  </si>
  <si>
    <t>IUNIG</t>
  </si>
  <si>
    <t>SITVA</t>
  </si>
  <si>
    <t>TSILZ</t>
  </si>
  <si>
    <t>IEZIS</t>
  </si>
  <si>
    <t>TMJET</t>
  </si>
  <si>
    <t>TRTOM</t>
  </si>
  <si>
    <t>GINZA</t>
  </si>
  <si>
    <t>INAVN</t>
  </si>
  <si>
    <t>INIFA</t>
  </si>
  <si>
    <t>PGAGO</t>
  </si>
  <si>
    <t>PGANO</t>
  </si>
  <si>
    <t>TRAZA</t>
  </si>
  <si>
    <t>IGPTJ</t>
  </si>
  <si>
    <t>CETAO</t>
  </si>
  <si>
    <t>CIGYP</t>
  </si>
  <si>
    <t>GTSIN</t>
  </si>
  <si>
    <t>HELIT</t>
  </si>
  <si>
    <t>@PP_K_TIPO_RAZON_SOCIAL</t>
  </si>
  <si>
    <t>INMOBILIARIA DE MEXICO GINZA</t>
  </si>
  <si>
    <t>INMOBILIARIA LOS MEDANOS</t>
  </si>
  <si>
    <t>INMOBILIARIA SILZA</t>
  </si>
  <si>
    <t>INMOBILIARIA TOMZA</t>
  </si>
  <si>
    <t>INMOBILIARIA ZARAGOZA ITO</t>
  </si>
  <si>
    <t>INMOBILIARES TERMINALES DE GAS 58</t>
  </si>
  <si>
    <t>INMOBILIARIA TERMINALES DE GAS 59</t>
  </si>
  <si>
    <t>INMOBILIARIA ERNESIL</t>
  </si>
  <si>
    <t>INMOBILIARIA UNIGAS</t>
  </si>
  <si>
    <t>INMOBILIAIRA EZI 70</t>
  </si>
  <si>
    <t>INMOBILIARIA EZI 71</t>
  </si>
  <si>
    <t>INMOBILIARIA AVANCE DEL NORTE</t>
  </si>
  <si>
    <t>INMOBILIARIA INDUSTRIAL Y FABRIL</t>
  </si>
  <si>
    <t>HIDROGAS DE OJINAGA</t>
  </si>
  <si>
    <t>ZARAGOZA OJINAGA (GAS)</t>
  </si>
  <si>
    <t>VULCANO (GAS)</t>
  </si>
  <si>
    <t>URIBE ACAPULCO (GAS)</t>
  </si>
  <si>
    <t>SILZA (GAS)</t>
  </si>
  <si>
    <t>TITANIUM (GAS)</t>
  </si>
  <si>
    <t>CHAPULTEPEC (GAS)</t>
  </si>
  <si>
    <t>MAMEME (GAS)</t>
  </si>
  <si>
    <t>SILZA DE MEXICO (GAS)</t>
  </si>
  <si>
    <t>TOMZA DE LA LAGUNA (GAS)</t>
  </si>
  <si>
    <t>TOMZA DEL CARIBE (GAS)</t>
  </si>
  <si>
    <t>VEHICULAR SILZA (GAS)</t>
  </si>
  <si>
    <t>TOMZA DE VERACRUZ (GAS)</t>
  </si>
  <si>
    <t>TOMZA DE SINALOA (GAS)</t>
  </si>
  <si>
    <t>TENABO (GAS)</t>
  </si>
  <si>
    <t>TOMZA / MEXICO (GAS)</t>
  </si>
  <si>
    <t>TOMZA / PUEBLA (GAS)</t>
  </si>
  <si>
    <t>TOMZA / YUCATAN (GAS)</t>
  </si>
  <si>
    <t>DEL PACIFICO (GAS)</t>
  </si>
  <si>
    <t>COLECCION ARTISTICA SILZA</t>
  </si>
  <si>
    <t>DESARROLLOS ESMERALDA</t>
  </si>
  <si>
    <t>APPLEMEX</t>
  </si>
  <si>
    <t>SUN CITY VENTURES</t>
  </si>
  <si>
    <t>CORPRACION E INVERSIONES TOMZA DE MEXICO</t>
  </si>
  <si>
    <t>FUNDACION ALBERTO ZARAGOZA 61</t>
  </si>
  <si>
    <t>FUNDACION ALBERTO ZARAGOZA 69</t>
  </si>
  <si>
    <t>GINZA HOLDING</t>
  </si>
  <si>
    <t>AEROSILZA</t>
  </si>
  <si>
    <t>AEROTOMZA</t>
  </si>
  <si>
    <t>TOMZAJET</t>
  </si>
  <si>
    <t>HELITOMZA</t>
  </si>
  <si>
    <t>TAO</t>
  </si>
  <si>
    <t>TERMINAL MARITIMA GAS TOMZA</t>
  </si>
  <si>
    <t>ESTACIONES SERVICIO SILZA</t>
  </si>
  <si>
    <t>SR. ENRIQUE ZARAGOZA ITO</t>
  </si>
  <si>
    <t>SR. TOMAS ZARAGOZA FUENTES</t>
  </si>
  <si>
    <t>SR. TOMAS ZARAGOZA ITO</t>
  </si>
  <si>
    <t>SRITA. SILVIA ZARAGOZA ITO</t>
  </si>
  <si>
    <t>PETROLEOS Y GAS DEL GOLFO</t>
  </si>
  <si>
    <t>PETROLEOS Y GAS DEL NORTE</t>
  </si>
  <si>
    <t>CIA IMP DE GAS Y PETROLEO DE TIJUANA</t>
  </si>
  <si>
    <t>COMPAÑIA IMPORTADORA DE GAS Y PETROLEO</t>
  </si>
  <si>
    <t>TRANSPORTADORA SILZA MX</t>
  </si>
  <si>
    <t>TRANSPORTADORA SILZA USA</t>
  </si>
  <si>
    <t>TRANSPORTADORA TOMZA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</si>
</sst>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ourier New"/>
      <family val="3"/>
    </font>
    <font>
      <b/>
      <sz val="11"/>
      <color theme="1"/>
      <name val="Courier New"/>
      <family val="3"/>
    </font>
    <font>
      <b/>
      <sz val="11"/>
      <color rgb="FF00B050"/>
      <name val="Calibri"/>
      <family val="2"/>
      <scheme val="minor"/>
    </font>
    <font>
      <b/>
      <sz val="11"/>
      <color rgb="FF00B050"/>
      <name val="Courier New"/>
      <family val="3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rgb="FF0070C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0" fillId="0" borderId="0" xfId="0" applyAlignment="1">
      <alignment horizontal="left"/>
    </xf>
    <xf numFmtId="0" fontId="4" fillId="0" borderId="0" xfId="0" applyFont="1"/>
    <xf numFmtId="0" fontId="5" fillId="0" borderId="0" xfId="0" applyFont="1" applyAlignment="1">
      <alignment horizontal="center"/>
    </xf>
    <xf numFmtId="0" fontId="6" fillId="0" borderId="0" xfId="0" applyFont="1" applyAlignment="1">
      <alignment horizontal="left"/>
    </xf>
    <xf numFmtId="0" fontId="7" fillId="0" borderId="0" xfId="0" applyFont="1"/>
    <xf numFmtId="0" fontId="1" fillId="0" borderId="0" xfId="0" applyFont="1" applyAlignment="1">
      <alignment horizontal="center"/>
    </xf>
    <xf numFmtId="0" fontId="1" fillId="0" borderId="0" xfId="0" applyFont="1"/>
    <xf numFmtId="0" fontId="8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83"/>
  <sheetViews>
    <sheetView tabSelected="1" workbookViewId="0">
      <pane xSplit="7" ySplit="1" topLeftCell="V71" activePane="bottomRight" state="frozen"/>
      <selection pane="topRight" activeCell="H1" sqref="H1"/>
      <selection pane="bottomLeft" activeCell="A2" sqref="A2"/>
      <selection pane="bottomRight" activeCell="V83" sqref="V1:V83"/>
    </sheetView>
  </sheetViews>
  <sheetFormatPr baseColWidth="10" defaultRowHeight="14.4" x14ac:dyDescent="0.3"/>
  <cols>
    <col min="1" max="3" width="5.33203125" style="1" customWidth="1"/>
    <col min="4" max="4" width="38.44140625" customWidth="1"/>
    <col min="5" max="6" width="18.109375" style="2" customWidth="1"/>
    <col min="7" max="7" width="26.88671875" customWidth="1"/>
    <col min="8" max="8" width="24.33203125" style="3" customWidth="1"/>
    <col min="9" max="11" width="11.44140625" customWidth="1"/>
    <col min="12" max="12" width="43.109375" customWidth="1"/>
    <col min="13" max="21" width="11.44140625" customWidth="1"/>
    <col min="22" max="22" width="68" style="10" customWidth="1"/>
    <col min="23" max="40" width="11.44140625" customWidth="1"/>
  </cols>
  <sheetData>
    <row r="1" spans="1:22" s="4" customFormat="1" x14ac:dyDescent="0.3">
      <c r="A1" s="4" t="s">
        <v>1</v>
      </c>
      <c r="B1" s="4" t="s">
        <v>2</v>
      </c>
      <c r="C1" s="4" t="s">
        <v>3</v>
      </c>
      <c r="D1" s="4" t="s">
        <v>4</v>
      </c>
      <c r="E1" s="5" t="s">
        <v>5</v>
      </c>
      <c r="F1" s="5" t="s">
        <v>347</v>
      </c>
      <c r="G1" s="4" t="s">
        <v>6</v>
      </c>
      <c r="H1" s="3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U1" s="6" t="s">
        <v>0</v>
      </c>
      <c r="V1" s="9" t="str">
        <f>CONCATENATE("-- ======================================== ",U1)</f>
        <v xml:space="preserve">-- ======================================== [dbo].[PG_CI_RAZON_SOCIAL] </v>
      </c>
    </row>
    <row r="2" spans="1:22" x14ac:dyDescent="0.3">
      <c r="A2" s="1">
        <v>0</v>
      </c>
      <c r="B2" s="1">
        <v>0</v>
      </c>
      <c r="C2" s="1">
        <v>0</v>
      </c>
      <c r="D2" s="7" t="s">
        <v>176</v>
      </c>
      <c r="E2" s="8" t="s">
        <v>175</v>
      </c>
      <c r="F2" s="8">
        <v>0</v>
      </c>
      <c r="G2" t="s">
        <v>45</v>
      </c>
      <c r="H2" s="3" t="s">
        <v>71</v>
      </c>
      <c r="Q2">
        <v>12345</v>
      </c>
      <c r="S2">
        <v>0</v>
      </c>
      <c r="V2" s="13" t="str">
        <f>CONCATENATE("EXECUTE ",$U$1,"0,0,0, ",C2,", '",D2,"', '",E2,"', ",F2, ",'", G2,"', '",H2,"', '",I2,"', '",J2,"', '",K2,"', '",L2,"', '",M2,"', '",N2,"', '",O2,"', '",P2,"', '",Q2,"', '",R2,"', ",S2)</f>
        <v>EXECUTE [dbo].[PG_CI_RAZON_SOCIAL] 0,0,0, 0, '( SIN RAZON SOCIAL )', 'XXXXX', 0,'SIN ASIGNAR', 'XXX000000XX0', '', '', '', '', '', '', '', '', '12345', '', 0</v>
      </c>
    </row>
    <row r="3" spans="1:22" x14ac:dyDescent="0.3">
      <c r="A3" s="1">
        <v>0</v>
      </c>
      <c r="B3" s="1">
        <v>0</v>
      </c>
      <c r="C3" s="1">
        <v>86</v>
      </c>
      <c r="D3" s="7" t="s">
        <v>177</v>
      </c>
      <c r="E3" s="8" t="s">
        <v>174</v>
      </c>
      <c r="F3" s="8">
        <v>3</v>
      </c>
      <c r="G3" t="s">
        <v>19</v>
      </c>
      <c r="H3" s="3" t="s">
        <v>46</v>
      </c>
      <c r="L3" t="s">
        <v>72</v>
      </c>
      <c r="M3">
        <v>807</v>
      </c>
      <c r="N3" t="s">
        <v>94</v>
      </c>
      <c r="O3" t="s">
        <v>100</v>
      </c>
      <c r="P3" t="s">
        <v>121</v>
      </c>
      <c r="Q3">
        <v>31203</v>
      </c>
      <c r="R3" t="s">
        <v>121</v>
      </c>
      <c r="S3">
        <v>0</v>
      </c>
      <c r="V3" s="13" t="str">
        <f>CONCATENATE("EXECUTE ",$U$1,"0,0,0, ",C3,", '",D3,"', '",E3,"', ",F3, ",'", G3,"', '",H3,"', '",I3,"', '",J3,"', '",K3,"', '",L3,"', '",M3,"', '",N3,"', '",O3,"', '",P3,"', '",Q3,"', '",R3,"', ",S3)</f>
        <v>EXECUTE [dbo].[PG_CI_RAZON_SOCIAL] 0,0,0, 86, 'GAS Y PETROLEO / GOLFO', 'GYPGF', 3,'COMPAÑIA IMPORTADORA DE GAS Y PETROLEO DEL GOLFO SA DE CV', 'IGP160201NK5', '', '', '', 'AV SAN FELIPE', '807', 'S/N', 'SAN FELIPE II', 'CHIHUAHUA', '31203', 'CHIHUAHUA', 0</v>
      </c>
    </row>
    <row r="4" spans="1:22" x14ac:dyDescent="0.3">
      <c r="A4" s="1">
        <v>0</v>
      </c>
      <c r="B4" s="1">
        <v>0</v>
      </c>
      <c r="C4" s="1">
        <v>84</v>
      </c>
      <c r="D4" s="7" t="s">
        <v>178</v>
      </c>
      <c r="E4" s="8" t="s">
        <v>173</v>
      </c>
      <c r="F4" s="8">
        <v>3</v>
      </c>
      <c r="G4" t="s">
        <v>20</v>
      </c>
      <c r="H4" s="3" t="s">
        <v>47</v>
      </c>
      <c r="L4" t="s">
        <v>72</v>
      </c>
      <c r="M4">
        <v>807</v>
      </c>
      <c r="N4" t="s">
        <v>95</v>
      </c>
      <c r="O4" t="s">
        <v>100</v>
      </c>
      <c r="P4" t="s">
        <v>95</v>
      </c>
      <c r="Q4">
        <v>31203</v>
      </c>
      <c r="R4" t="s">
        <v>121</v>
      </c>
      <c r="S4">
        <v>0</v>
      </c>
      <c r="V4" s="13" t="str">
        <f>CONCATENATE("EXECUTE ",$U$1,"0,0,0, ",C4,", '",D4,"', '",E4,"', ",F4, ",'", G4,"', '",H4,"', '",I4,"', '",J4,"', '",K4,"', '",L4,"', '",M4,"', '",N4,"', '",O4,"', '",P4,"', '",Q4,"', '",R4,"', ",S4)</f>
        <v>EXECUTE [dbo].[PG_CI_RAZON_SOCIAL] 0,0,0, 84, 'GAS Y PRETROLEO / JUAREZ', 'GYPJZ', 3,'COMPAÑIA IMPORTADORA DE GAS Y PRETROLEO DE JUAREZ, SA DE CV', 'IGP160201P62', '', '', '', 'AV SAN FELIPE', '807', 'SN', 'SAN FELIPE II', 'SN', '31203', 'CHIHUAHUA', 0</v>
      </c>
    </row>
    <row r="5" spans="1:22" x14ac:dyDescent="0.3">
      <c r="A5" s="1">
        <v>0</v>
      </c>
      <c r="B5" s="1">
        <v>0</v>
      </c>
      <c r="C5" s="1">
        <v>6</v>
      </c>
      <c r="D5" s="7" t="s">
        <v>147</v>
      </c>
      <c r="E5" s="8" t="s">
        <v>172</v>
      </c>
      <c r="F5" s="8">
        <v>1</v>
      </c>
      <c r="G5" t="s">
        <v>21</v>
      </c>
      <c r="H5" s="3" t="s">
        <v>48</v>
      </c>
      <c r="L5" t="s">
        <v>73</v>
      </c>
      <c r="M5" t="s">
        <v>94</v>
      </c>
      <c r="O5" t="s">
        <v>101</v>
      </c>
      <c r="P5" t="s">
        <v>122</v>
      </c>
      <c r="Q5">
        <v>53100</v>
      </c>
      <c r="R5" t="s">
        <v>122</v>
      </c>
      <c r="S5">
        <v>0</v>
      </c>
      <c r="V5" s="13" t="str">
        <f>CONCATENATE("EXECUTE ",$U$1,"0,0,0, ",C5,", '",D5,"', '",E5,"', ",F5, ",'", G5,"', '",H5,"', '",I5,"', '",J5,"', '",K5,"', '",L5,"', '",M5,"', '",N5,"', '",O5,"', '",P5,"', '",Q5,"', '",R5,"', ",S5)</f>
        <v>EXECUTE [dbo].[PG_CI_RAZON_SOCIAL] 0,0,0, 6, 'MEXICANA DE GAS', 'MEXGS', 1,'COMPAÑIA MEXICANA DE GAS COMBUSTIBLE SA DE CV', 'MGC471027M17', '', '', '', 'KM 22.5 AUTOPISTA MEXICO PUEBLA', 'S/N', '', 'SANTA CATARINA YECAHUIZOTL', 'TLAHUAC', '53100', 'TLAHUAC', 0</v>
      </c>
    </row>
    <row r="6" spans="1:22" x14ac:dyDescent="0.3">
      <c r="A6" s="1">
        <v>0</v>
      </c>
      <c r="B6" s="1">
        <v>0</v>
      </c>
      <c r="C6" s="1">
        <v>10</v>
      </c>
      <c r="D6" s="7" t="s">
        <v>151</v>
      </c>
      <c r="E6" s="8" t="s">
        <v>151</v>
      </c>
      <c r="F6" s="8">
        <v>1</v>
      </c>
      <c r="G6" t="s">
        <v>22</v>
      </c>
      <c r="H6" s="3" t="s">
        <v>49</v>
      </c>
      <c r="L6" t="s">
        <v>74</v>
      </c>
      <c r="M6">
        <v>51</v>
      </c>
      <c r="O6" t="s">
        <v>102</v>
      </c>
      <c r="P6" t="s">
        <v>123</v>
      </c>
      <c r="Q6">
        <v>47600</v>
      </c>
      <c r="R6" t="s">
        <v>123</v>
      </c>
      <c r="S6">
        <v>0</v>
      </c>
      <c r="V6" s="13" t="str">
        <f>CONCATENATE("EXECUTE ",$U$1,"0,0,0, ",C6,", '",D6,"', '",E6,"', ",F6, ",'", G6,"', '",H6,"', '",I6,"', '",J6,"', '",K6,"', '",L6,"', '",M6,"', '",N6,"', '",O6,"', '",P6,"', '",Q6,"', '",R6,"', ",S6)</f>
        <v>EXECUTE [dbo].[PG_CI_RAZON_SOCIAL] 0,0,0, 10, 'BUTEP', 'BUTEP', 1,'GAS BUTEP S.A. DE C.V.', 'GBU7109148V4', '', '', '', 'AV. MORELOS', '51', '', 'CENTRO', 'TEPATITLAN', '47600', 'TEPATITLAN', 0</v>
      </c>
    </row>
    <row r="7" spans="1:22" x14ac:dyDescent="0.3">
      <c r="A7" s="1">
        <v>0</v>
      </c>
      <c r="B7" s="1">
        <v>0</v>
      </c>
      <c r="C7" s="1">
        <v>11</v>
      </c>
      <c r="D7" s="7" t="s">
        <v>367</v>
      </c>
      <c r="E7" s="8" t="s">
        <v>152</v>
      </c>
      <c r="F7" s="8">
        <v>1</v>
      </c>
      <c r="G7" t="s">
        <v>24</v>
      </c>
      <c r="H7" s="3" t="s">
        <v>50</v>
      </c>
      <c r="L7" t="s">
        <v>75</v>
      </c>
      <c r="M7" t="s">
        <v>94</v>
      </c>
      <c r="O7" t="s">
        <v>103</v>
      </c>
      <c r="P7" t="s">
        <v>124</v>
      </c>
      <c r="Q7">
        <v>55348</v>
      </c>
      <c r="R7" t="s">
        <v>124</v>
      </c>
      <c r="S7">
        <v>0</v>
      </c>
      <c r="V7" s="13" t="str">
        <f>CONCATENATE("EXECUTE ",$U$1,"0,0,0, ",C7,", '",D7,"', '",E7,"', ",F7, ",'", G7,"', '",H7,"', '",I7,"', '",J7,"', '",K7,"', '",L7,"', '",M7,"', '",N7,"', '",O7,"', '",P7,"', '",Q7,"', '",R7,"', ",S7)</f>
        <v>EXECUTE [dbo].[PG_CI_RAZON_SOCIAL] 0,0,0, 11, 'CHAPULTEPEC (GAS)', 'CHAPU', 1,'GAS CHAPULTEPEC SA DE CV', 'GCA5411048Z4', '', '', '', 'SIDERURGIA', 'S/N', '', 'INDUSTRIAL XALOSTOC', 'ECATEPEC DE MORELOS', '55348', 'ECATEPEC DE MORELOS', 0</v>
      </c>
    </row>
    <row r="8" spans="1:22" x14ac:dyDescent="0.3">
      <c r="A8" s="1">
        <v>0</v>
      </c>
      <c r="B8" s="1">
        <v>0</v>
      </c>
      <c r="C8" s="1">
        <v>12</v>
      </c>
      <c r="D8" s="7" t="s">
        <v>179</v>
      </c>
      <c r="E8" s="8" t="s">
        <v>171</v>
      </c>
      <c r="F8" s="8">
        <v>1</v>
      </c>
      <c r="G8" t="s">
        <v>25</v>
      </c>
      <c r="H8" s="3" t="s">
        <v>51</v>
      </c>
      <c r="L8" t="s">
        <v>76</v>
      </c>
      <c r="M8" t="s">
        <v>94</v>
      </c>
      <c r="O8" t="s">
        <v>104</v>
      </c>
      <c r="P8" t="s">
        <v>125</v>
      </c>
      <c r="Q8">
        <v>31750</v>
      </c>
      <c r="R8" t="s">
        <v>125</v>
      </c>
      <c r="S8">
        <v>0</v>
      </c>
      <c r="V8" s="13" t="str">
        <f>CONCATENATE("EXECUTE ",$U$1,"0,0,0, ",C8,", '",D8,"', '",E8,"', ",F8, ",'", G8,"', '",H8,"', '",I8,"', '",J8,"', '",K8,"', '",L8,"', '",M8,"', '",N8,"', '",O8,"', '",P8,"', '",Q8,"', '",R8,"', ",S8)</f>
        <v>EXECUTE [dbo].[PG_CI_RAZON_SOCIAL] 0,0,0, 12, 'GAS COMERCIAL / NUEVO CASAS GRANDES', 'GCNCG', 1,'GAS COMERCIAL DE NUEVO CASAS GRANDES SA DE CV', 'GCN6105309I5', '', '', '', 'C SUECO KM 189 42', 'S/N', '', 'OBRERA', 'NUEVO CASAS GRANDES', '31750', 'NUEVO CASAS GRANDES', 0</v>
      </c>
    </row>
    <row r="9" spans="1:22" x14ac:dyDescent="0.3">
      <c r="A9" s="1">
        <v>0</v>
      </c>
      <c r="B9" s="1">
        <v>0</v>
      </c>
      <c r="C9" s="1">
        <v>13</v>
      </c>
      <c r="D9" s="7" t="s">
        <v>180</v>
      </c>
      <c r="E9" s="8" t="s">
        <v>170</v>
      </c>
      <c r="F9" s="8">
        <v>1</v>
      </c>
      <c r="G9" t="s">
        <v>26</v>
      </c>
      <c r="H9" s="3" t="s">
        <v>52</v>
      </c>
      <c r="L9" t="s">
        <v>77</v>
      </c>
      <c r="M9" t="s">
        <v>94</v>
      </c>
      <c r="O9" t="s">
        <v>105</v>
      </c>
      <c r="P9" t="s">
        <v>126</v>
      </c>
      <c r="Q9">
        <v>32690</v>
      </c>
      <c r="R9" t="s">
        <v>126</v>
      </c>
      <c r="S9">
        <v>0</v>
      </c>
      <c r="V9" s="13" t="str">
        <f>CONCATENATE("EXECUTE ",$U$1,"0,0,0, ",C9,", '",D9,"', '",E9,"', ",F9, ",'", G9,"', '",H9,"', '",I9,"', '",J9,"', '",K9,"', '",L9,"', '",M9,"', '",N9,"', '",O9,"', '",P9,"', '",Q9,"', '",R9,"', ",S9)</f>
        <v>EXECUTE [dbo].[PG_CI_RAZON_SOCIAL] 0,0,0, 13, 'GAS COMERCIAL / VILLA AHUMADA', 'GCVAH', 1,'GAS COMERCIAL DE VILLA AHUMADA SA DE CV', 'GCV610502NY0', '', '', '', 'CARR PANAMERICA KM 17', 'S/N', '', 'AMPLIACION AEROPUERTO', 'JUAREZ', '32690', 'JUAREZ', 0</v>
      </c>
    </row>
    <row r="10" spans="1:22" x14ac:dyDescent="0.3">
      <c r="A10" s="1">
        <v>0</v>
      </c>
      <c r="B10" s="1">
        <v>0</v>
      </c>
      <c r="C10" s="1">
        <v>53</v>
      </c>
      <c r="D10" s="7" t="s">
        <v>375</v>
      </c>
      <c r="E10" s="8" t="s">
        <v>153</v>
      </c>
      <c r="F10" s="8">
        <v>1</v>
      </c>
      <c r="G10" t="s">
        <v>27</v>
      </c>
      <c r="H10" s="3" t="s">
        <v>53</v>
      </c>
      <c r="L10" t="s">
        <v>78</v>
      </c>
      <c r="M10" t="s">
        <v>94</v>
      </c>
      <c r="O10" t="s">
        <v>106</v>
      </c>
      <c r="P10" t="s">
        <v>127</v>
      </c>
      <c r="Q10">
        <v>24700</v>
      </c>
      <c r="R10" t="s">
        <v>127</v>
      </c>
      <c r="S10">
        <v>0</v>
      </c>
      <c r="V10" s="13" t="str">
        <f>CONCATENATE("EXECUTE ",$U$1,"0,0,0, ",C10,", '",D10,"', '",E10,"', ",F10, ",'", G10,"', '",H10,"', '",I10,"', '",J10,"', '",K10,"', '",L10,"', '",M10,"', '",N10,"', '",O10,"', '",P10,"', '",Q10,"', '",R10,"', ",S10)</f>
        <v>EXECUTE [dbo].[PG_CI_RAZON_SOCIAL] 0,0,0, 53, 'TENABO (GAS)', 'GSILZ', 1,'GAS DE TENABO S.A. DE C.V.', 'GTE031106PU9', '', '', '', 'CARRETERA CAMPECHE MERIDA KM 35 MAS 200', 'S/N', '', 'SIN COLONIA', 'TENABO', '24700', 'TENABO', 0</v>
      </c>
    </row>
    <row r="11" spans="1:22" x14ac:dyDescent="0.3">
      <c r="A11" s="1">
        <v>0</v>
      </c>
      <c r="B11" s="1">
        <v>0</v>
      </c>
      <c r="C11" s="1">
        <v>16</v>
      </c>
      <c r="D11" s="7" t="s">
        <v>365</v>
      </c>
      <c r="E11" s="8" t="s">
        <v>169</v>
      </c>
      <c r="F11" s="8">
        <v>1</v>
      </c>
      <c r="G11" t="s">
        <v>28</v>
      </c>
      <c r="H11" s="3" t="s">
        <v>54</v>
      </c>
      <c r="L11" t="s">
        <v>79</v>
      </c>
      <c r="M11" t="s">
        <v>94</v>
      </c>
      <c r="O11" t="s">
        <v>107</v>
      </c>
      <c r="P11" t="s">
        <v>128</v>
      </c>
      <c r="Q11">
        <v>22105</v>
      </c>
      <c r="R11" t="s">
        <v>128</v>
      </c>
      <c r="S11">
        <v>0</v>
      </c>
      <c r="V11" s="13" t="str">
        <f>CONCATENATE("EXECUTE ",$U$1,"0,0,0, ",C11,", '",D11,"', '",E11,"', ",F11, ",'", G11,"', '",H11,"', '",I11,"', '",J11,"', '",K11,"', '",L11,"', '",M11,"', '",N11,"', '",O11,"', '",P11,"', '",Q11,"', '",R11,"', ",S11)</f>
        <v>EXECUTE [dbo].[PG_CI_RAZON_SOCIAL] 0,0,0, 16, 'SILZA (GAS)', 'GSLZA', 1,'GAS SILZA S.A. DE C.V.', 'GSI900821UG1', '', '', '', 'CARRETERA A TECATE KM 27.5', 'S/N', '', 'LA MESA', 'TIJUANA', '22105', 'TIJUANA', 0</v>
      </c>
    </row>
    <row r="12" spans="1:22" x14ac:dyDescent="0.3">
      <c r="A12" s="1">
        <v>0</v>
      </c>
      <c r="B12" s="1">
        <v>0</v>
      </c>
      <c r="C12" s="1">
        <v>89</v>
      </c>
      <c r="D12" s="7" t="s">
        <v>366</v>
      </c>
      <c r="E12" s="8" t="s">
        <v>156</v>
      </c>
      <c r="F12" s="8">
        <v>1</v>
      </c>
      <c r="G12" t="s">
        <v>29</v>
      </c>
      <c r="H12" s="3" t="s">
        <v>55</v>
      </c>
      <c r="L12" t="s">
        <v>80</v>
      </c>
      <c r="M12" t="s">
        <v>94</v>
      </c>
      <c r="N12" t="s">
        <v>94</v>
      </c>
      <c r="O12" t="s">
        <v>108</v>
      </c>
      <c r="P12" t="s">
        <v>129</v>
      </c>
      <c r="Q12">
        <v>20330</v>
      </c>
      <c r="R12" t="s">
        <v>142</v>
      </c>
      <c r="S12">
        <v>0</v>
      </c>
      <c r="V12" s="13" t="str">
        <f>CONCATENATE("EXECUTE ",$U$1,"0,0,0, ",C12,", '",D12,"', '",E12,"', ",F12, ",'", G12,"', '",H12,"', '",I12,"', '",J12,"', '",K12,"', '",L12,"', '",M12,"', '",N12,"', '",O12,"', '",P12,"', '",Q12,"', '",R12,"', ",S12)</f>
        <v>EXECUTE [dbo].[PG_CI_RAZON_SOCIAL] 0,0,0, 89, 'TITANIUM (GAS)', 'TITAN', 1,'GAS TITANIUM S.A. DE C.V.', 'GTI110912122', '', '', '', 'SAN ISIDRO LA SOLEDAD KM. 19.8', 'S/N', 'S/N', 'N/D', 'PALO ALTO', '20330', 'EL LLANO', 0</v>
      </c>
    </row>
    <row r="13" spans="1:22" x14ac:dyDescent="0.3">
      <c r="A13" s="1">
        <v>0</v>
      </c>
      <c r="B13" s="1">
        <v>0</v>
      </c>
      <c r="C13" s="1">
        <v>19</v>
      </c>
      <c r="D13" s="7" t="s">
        <v>376</v>
      </c>
      <c r="E13" s="8" t="s">
        <v>154</v>
      </c>
      <c r="F13" s="8">
        <v>1</v>
      </c>
      <c r="G13" t="s">
        <v>30</v>
      </c>
      <c r="H13" s="3" t="s">
        <v>56</v>
      </c>
      <c r="L13" t="s">
        <v>81</v>
      </c>
      <c r="M13" t="s">
        <v>94</v>
      </c>
      <c r="O13" t="s">
        <v>109</v>
      </c>
      <c r="P13" t="s">
        <v>130</v>
      </c>
      <c r="Q13">
        <v>42850</v>
      </c>
      <c r="R13" t="s">
        <v>143</v>
      </c>
      <c r="S13">
        <v>0</v>
      </c>
      <c r="V13" s="13" t="str">
        <f>CONCATENATE("EXECUTE ",$U$1,"0,0,0, ",C13,", '",D13,"', '",E13,"', ",F13, ",'", G13,"', '",H13,"', '",I13,"', '",J13,"', '",K13,"', '",L13,"', '",M13,"', '",N13,"', '",O13,"', '",P13,"', '",Q13,"', '",R13,"', ",S13)</f>
        <v>EXECUTE [dbo].[PG_CI_RAZON_SOCIAL] 0,0,0, 19, 'TOMZA / MEXICO (GAS)', 'GTMEX', 1,'GAS TOMZA DE MEXICO S.A. DE C.V.', 'GTM020909DJ2', '', '', '', 'PARQUE INDUSTRIAL TEPEJI LT 183 MZ 24', 'S/N', '', 'PARQUE INDUSTRIAL TEPEJI', 'TEPEJI DEL RIO', '42850', 'TEPEJI DEL RIO DE OCAMPO', 0</v>
      </c>
    </row>
    <row r="14" spans="1:22" x14ac:dyDescent="0.3">
      <c r="A14" s="1">
        <v>0</v>
      </c>
      <c r="B14" s="1">
        <v>0</v>
      </c>
      <c r="C14" s="1">
        <v>15</v>
      </c>
      <c r="D14" s="7" t="s">
        <v>377</v>
      </c>
      <c r="E14" s="8" t="s">
        <v>155</v>
      </c>
      <c r="F14" s="8">
        <v>1</v>
      </c>
      <c r="G14" t="s">
        <v>31</v>
      </c>
      <c r="H14" s="3" t="s">
        <v>57</v>
      </c>
      <c r="L14" t="s">
        <v>82</v>
      </c>
      <c r="M14" t="s">
        <v>94</v>
      </c>
      <c r="O14" t="s">
        <v>110</v>
      </c>
      <c r="P14" t="s">
        <v>131</v>
      </c>
      <c r="Q14">
        <v>72980</v>
      </c>
      <c r="R14" t="s">
        <v>131</v>
      </c>
      <c r="S14">
        <v>0</v>
      </c>
      <c r="V14" s="13" t="str">
        <f>CONCATENATE("EXECUTE ",$U$1,"0,0,0, ",C14,", '",D14,"', '",E14,"', ",F14, ",'", G14,"', '",H14,"', '",I14,"', '",J14,"', '",K14,"', '",L14,"', '",M14,"', '",N14,"', '",O14,"', '",P14,"', '",Q14,"', '",R14,"', ",S14)</f>
        <v>EXECUTE [dbo].[PG_CI_RAZON_SOCIAL] 0,0,0, 15, 'TOMZA / PUEBLA (GAS)', 'GTPUE', 1,'GAS TOMZA DE PUEBLA, SA DE CV', 'GPR960815HJA', '', '', '', 'KM. 134.8 AUTOPISTA MEXICO-ORIZABA', 'S/N', '', 'PARQUE INDUSTRIAL SAN FELIPE CHACHAPA', 'AMOZOC', '72980', 'AMOZOC', 0</v>
      </c>
    </row>
    <row r="15" spans="1:22" x14ac:dyDescent="0.3">
      <c r="A15" s="1">
        <v>0</v>
      </c>
      <c r="B15" s="1">
        <v>0</v>
      </c>
      <c r="C15" s="1">
        <v>45</v>
      </c>
      <c r="D15" s="7" t="s">
        <v>378</v>
      </c>
      <c r="E15" s="8" t="s">
        <v>157</v>
      </c>
      <c r="F15" s="8">
        <v>1</v>
      </c>
      <c r="G15" t="s">
        <v>32</v>
      </c>
      <c r="H15" s="3" t="s">
        <v>58</v>
      </c>
      <c r="L15" t="s">
        <v>83</v>
      </c>
      <c r="M15" t="s">
        <v>94</v>
      </c>
      <c r="O15" t="s">
        <v>106</v>
      </c>
      <c r="P15" t="s">
        <v>132</v>
      </c>
      <c r="Q15">
        <v>97810</v>
      </c>
      <c r="R15" t="s">
        <v>132</v>
      </c>
      <c r="S15">
        <v>0</v>
      </c>
      <c r="V15" s="13" t="str">
        <f>CONCATENATE("EXECUTE ",$U$1,"0,0,0, ",C15,", '",D15,"', '",E15,"', ",F15, ",'", G15,"', '",H15,"', '",I15,"', '",J15,"', '",K15,"', '",L15,"', '",M15,"', '",N15,"', '",O15,"', '",P15,"', '",Q15,"', '",R15,"', ",S15)</f>
        <v>EXECUTE [dbo].[PG_CI_RAZON_SOCIAL] 0,0,0, 45, 'TOMZA / YUCATAN (GAS)', 'GTYUC', 1,'GAS TOMZA DE YUCATAN S.A. DE C.V.', 'GTY030728BA4', '', '', '', 'CARRETERA UMAN KINCHIL KM 15 MAS 500', 'S/N', '', 'SIN COLONIA', 'SAMAHIL', '97810', 'SAMAHIL', 0</v>
      </c>
    </row>
    <row r="16" spans="1:22" x14ac:dyDescent="0.3">
      <c r="A16" s="1">
        <v>0</v>
      </c>
      <c r="B16" s="1">
        <v>0</v>
      </c>
      <c r="C16" s="1">
        <v>21</v>
      </c>
      <c r="D16" s="7" t="s">
        <v>364</v>
      </c>
      <c r="E16" s="8" t="s">
        <v>158</v>
      </c>
      <c r="F16" s="8">
        <v>1</v>
      </c>
      <c r="G16" t="s">
        <v>33</v>
      </c>
      <c r="H16" s="3" t="s">
        <v>59</v>
      </c>
      <c r="L16" t="s">
        <v>84</v>
      </c>
      <c r="M16">
        <v>8255</v>
      </c>
      <c r="N16" t="s">
        <v>96</v>
      </c>
      <c r="O16" t="s">
        <v>111</v>
      </c>
      <c r="P16" t="s">
        <v>126</v>
      </c>
      <c r="Q16">
        <v>32440</v>
      </c>
      <c r="R16" t="s">
        <v>126</v>
      </c>
      <c r="S16">
        <v>0</v>
      </c>
      <c r="V16" s="13" t="str">
        <f>CONCATENATE("EXECUTE ",$U$1,"0,0,0, ",C16,", '",D16,"', '",E16,"', ",F16, ",'", G16,"', '",H16,"', '",I16,"', '",J16,"', '",K16,"', '",L16,"', '",M16,"', '",N16,"', '",O16,"', '",P16,"', '",Q16,"', '",R16,"', ",S16)</f>
        <v>EXECUTE [dbo].[PG_CI_RAZON_SOCIAL] 0,0,0, 21, 'URIBE ACAPULCO (GAS)', 'URIBE', 1,'GAS URIBE DE ACAPULCO SA DE CV', 'GUA8501025D6', '', '', '', 'BOULEVARD TOMAS FERNANDEZ', '8255', '11B', 'LOS PARQUES', 'JUAREZ', '32440', 'JUAREZ', 0</v>
      </c>
    </row>
    <row r="17" spans="1:22" x14ac:dyDescent="0.3">
      <c r="A17" s="1">
        <v>0</v>
      </c>
      <c r="B17" s="1">
        <v>0</v>
      </c>
      <c r="C17" s="1">
        <v>49</v>
      </c>
      <c r="D17" s="7" t="s">
        <v>363</v>
      </c>
      <c r="E17" s="8" t="s">
        <v>159</v>
      </c>
      <c r="F17" s="8">
        <v>1</v>
      </c>
      <c r="G17" t="s">
        <v>34</v>
      </c>
      <c r="H17" s="3" t="s">
        <v>60</v>
      </c>
      <c r="L17" t="s">
        <v>85</v>
      </c>
      <c r="M17" t="s">
        <v>94</v>
      </c>
      <c r="O17" t="s">
        <v>102</v>
      </c>
      <c r="P17" t="s">
        <v>133</v>
      </c>
      <c r="Q17">
        <v>49100</v>
      </c>
      <c r="R17" t="s">
        <v>144</v>
      </c>
      <c r="S17">
        <v>0</v>
      </c>
      <c r="V17" s="13" t="str">
        <f>CONCATENATE("EXECUTE ",$U$1,"0,0,0, ",C17,", '",D17,"', '",E17,"', ",F17, ",'", G17,"', '",H17,"', '",I17,"', '",J17,"', '",K17,"', '",L17,"', '",M17,"', '",N17,"', '",O17,"', '",P17,"', '",Q17,"', '",R17,"', ",S17)</f>
        <v>EXECUTE [dbo].[PG_CI_RAZON_SOCIAL] 0,0,0, 49, 'VULCANO (GAS)', 'VULCN', 1,'GAS VULCANO SA DE CV', 'GVU9912072H9', '', '', '', 'CARR. AL FRESNITO KM', 'S/N', '', 'CENTRO', 'CD GUZMAN', '49100', 'ZAPOTLAN EL GRANDE', 0</v>
      </c>
    </row>
    <row r="18" spans="1:22" x14ac:dyDescent="0.3">
      <c r="A18" s="1">
        <v>0</v>
      </c>
      <c r="B18" s="1">
        <v>0</v>
      </c>
      <c r="C18" s="1">
        <v>23</v>
      </c>
      <c r="D18" s="7" t="s">
        <v>148</v>
      </c>
      <c r="E18" s="8" t="s">
        <v>160</v>
      </c>
      <c r="F18" s="8">
        <v>1</v>
      </c>
      <c r="G18" t="s">
        <v>35</v>
      </c>
      <c r="H18" s="3" t="s">
        <v>61</v>
      </c>
      <c r="L18" t="s">
        <v>86</v>
      </c>
      <c r="M18">
        <v>55</v>
      </c>
      <c r="O18" t="s">
        <v>112</v>
      </c>
      <c r="P18" t="s">
        <v>134</v>
      </c>
      <c r="Q18">
        <v>54189</v>
      </c>
      <c r="R18" t="s">
        <v>141</v>
      </c>
      <c r="S18">
        <v>0</v>
      </c>
      <c r="V18" s="13" t="str">
        <f>CONCATENATE("EXECUTE ",$U$1,"0,0,0, ",C18,", '",D18,"', '",E18,"', ",F18, ",'", G18,"', '",H18,"', '",I18,"', '",J18,"', '",K18,"', '",L18,"', '",M18,"', '",N18,"', '",O18,"', '",P18,"', '",Q18,"', '",R18,"', ",S18)</f>
        <v>EXECUTE [dbo].[PG_CI_RAZON_SOCIAL] 0,0,0, 23, 'GAS Y SERVICIO', 'GASYS', 1,'GAS Y SERVICIO SA DE CV', 'GSE520604IT5', '', '', '', 'AV SAN JOSE', '55', '', 'LAZARO CARDENAS', 'HERMILIO MENA', '54189', 'TLALNEPANTLA', 0</v>
      </c>
    </row>
    <row r="19" spans="1:22" x14ac:dyDescent="0.3">
      <c r="A19" s="1">
        <v>0</v>
      </c>
      <c r="B19" s="1">
        <v>0</v>
      </c>
      <c r="C19" s="1">
        <v>24</v>
      </c>
      <c r="D19" s="7" t="s">
        <v>362</v>
      </c>
      <c r="E19" s="8" t="s">
        <v>168</v>
      </c>
      <c r="F19" s="8">
        <v>1</v>
      </c>
      <c r="G19" t="s">
        <v>36</v>
      </c>
      <c r="H19" s="3" t="s">
        <v>62</v>
      </c>
      <c r="L19" t="s">
        <v>87</v>
      </c>
      <c r="M19">
        <v>300</v>
      </c>
      <c r="N19" t="s">
        <v>94</v>
      </c>
      <c r="O19" t="s">
        <v>113</v>
      </c>
      <c r="P19" t="s">
        <v>135</v>
      </c>
      <c r="Q19">
        <v>32885</v>
      </c>
      <c r="R19" t="s">
        <v>135</v>
      </c>
      <c r="S19">
        <v>0</v>
      </c>
      <c r="V19" s="13" t="str">
        <f>CONCATENATE("EXECUTE ",$U$1,"0,0,0, ",C19,", '",D19,"', '",E19,"', ",F19, ",'", G19,"', '",H19,"', '",I19,"', '",J19,"', '",K19,"', '",L19,"', '",M19,"', '",N19,"', '",O19,"', '",P19,"', '",Q19,"', '",R19,"', ",S19)</f>
        <v>EXECUTE [dbo].[PG_CI_RAZON_SOCIAL] 0,0,0, 24, 'ZARAGOZA OJINAGA (GAS)', 'GZAOJ', 1,'GAS ZARAGOZA EN OJINAGA S.A. DE C.V.', 'GZO8712026P7', '', '', '', 'JUSTO SIERRA', '300', 'S/N', 'LINDA VISTA', 'OJINAGA', '32885', 'OJINAGA', 0</v>
      </c>
    </row>
    <row r="20" spans="1:22" x14ac:dyDescent="0.3">
      <c r="A20" s="1">
        <v>0</v>
      </c>
      <c r="B20" s="1">
        <v>0</v>
      </c>
      <c r="C20" s="1">
        <v>25</v>
      </c>
      <c r="D20" s="7" t="s">
        <v>149</v>
      </c>
      <c r="E20" s="8" t="s">
        <v>161</v>
      </c>
      <c r="F20" s="8">
        <v>1</v>
      </c>
      <c r="G20" t="s">
        <v>37</v>
      </c>
      <c r="H20" s="3" t="s">
        <v>63</v>
      </c>
      <c r="L20" t="s">
        <v>88</v>
      </c>
      <c r="M20">
        <v>7</v>
      </c>
      <c r="N20" t="s">
        <v>97</v>
      </c>
      <c r="O20" t="s">
        <v>114</v>
      </c>
      <c r="P20" t="s">
        <v>136</v>
      </c>
      <c r="Q20">
        <v>54180</v>
      </c>
      <c r="R20" t="s">
        <v>136</v>
      </c>
      <c r="S20">
        <v>0</v>
      </c>
      <c r="V20" s="13" t="str">
        <f>CONCATENATE("EXECUTE ",$U$1,"0,0,0, ",C20,", '",D20,"', '",E20,"', ",F20, ",'", G20,"', '",H20,"', '",I20,"', '",J20,"', '",K20,"', '",L20,"', '",M20,"', '",N20,"', '",O20,"', '",P20,"', '",Q20,"', '",R20,"', ",S20)</f>
        <v>EXECUTE [dbo].[PG_CI_RAZON_SOCIAL] 0,0,0, 25, 'GASOMATICO', 'GSOMA', 1,'GASOMATICO S.A. DE C.V.', 'GAS710629HU3', '', '', '', 'AV. SAN JOSE', '7', 'BIS', 'SAN JUAN IXHUATEPEC', 'TLALNEPANTLA DE BAZ', '54180', 'TLALNEPANTLA DE BAZ', 0</v>
      </c>
    </row>
    <row r="21" spans="1:22" x14ac:dyDescent="0.3">
      <c r="A21" s="1">
        <v>0</v>
      </c>
      <c r="B21" s="1">
        <v>0</v>
      </c>
      <c r="C21" s="1">
        <v>36</v>
      </c>
      <c r="D21" s="7" t="s">
        <v>181</v>
      </c>
      <c r="E21" s="8" t="s">
        <v>167</v>
      </c>
      <c r="F21" s="8">
        <v>1</v>
      </c>
      <c r="G21" t="s">
        <v>38</v>
      </c>
      <c r="H21" s="3" t="s">
        <v>64</v>
      </c>
      <c r="L21" t="s">
        <v>89</v>
      </c>
      <c r="M21" t="s">
        <v>94</v>
      </c>
      <c r="O21" t="s">
        <v>115</v>
      </c>
      <c r="P21" t="s">
        <v>137</v>
      </c>
      <c r="Q21">
        <v>84259</v>
      </c>
      <c r="R21" t="s">
        <v>137</v>
      </c>
      <c r="S21">
        <v>0</v>
      </c>
      <c r="V21" s="13" t="str">
        <f>CONCATENATE("EXECUTE ",$U$1,"0,0,0, ",C21,", '",D21,"', '",E21,"', ",F21, ",'", G21,"', '",H21,"', '",I21,"', '",J21,"', '",K21,"', '",L21,"', '",M21,"', '",N21,"', '",O21,"', '",P21,"', '",Q21,"', '",R21,"', ",S21)</f>
        <v>EXECUTE [dbo].[PG_CI_RAZON_SOCIAL] 0,0,0, 36, 'HIDROGAS / AGUA PRIETA', 'HIAGP', 1,'HIDRO GAS DE AGUA PRIETA SA DE CV', 'HGA7512092G9', '', '', '', 'CARRETERA A NACOZARI KM. 5 1.2', 'S/N', '', 'EJIDAL', 'AGUA PRIETA', '84259', 'AGUA PRIETA', 0</v>
      </c>
    </row>
    <row r="22" spans="1:22" x14ac:dyDescent="0.3">
      <c r="A22" s="1">
        <v>0</v>
      </c>
      <c r="B22" s="1">
        <v>0</v>
      </c>
      <c r="C22" s="1">
        <v>26</v>
      </c>
      <c r="D22" s="7" t="s">
        <v>182</v>
      </c>
      <c r="E22" s="8" t="s">
        <v>166</v>
      </c>
      <c r="F22" s="8">
        <v>1</v>
      </c>
      <c r="G22" t="s">
        <v>39</v>
      </c>
      <c r="H22" s="3" t="s">
        <v>65</v>
      </c>
      <c r="L22" t="s">
        <v>84</v>
      </c>
      <c r="M22">
        <v>8255</v>
      </c>
      <c r="N22" t="s">
        <v>96</v>
      </c>
      <c r="O22" t="s">
        <v>111</v>
      </c>
      <c r="P22" t="s">
        <v>126</v>
      </c>
      <c r="Q22">
        <v>32440</v>
      </c>
      <c r="R22" t="s">
        <v>126</v>
      </c>
      <c r="S22">
        <v>0</v>
      </c>
      <c r="V22" s="13" t="str">
        <f>CONCATENATE("EXECUTE ",$U$1,"0,0,0, ",C22,", '",D22,"', '",E22,"', ",F22, ",'", G22,"', '",H22,"', '",I22,"', '",J22,"', '",K22,"', '",L22,"', '",M22,"', '",N22,"', '",O22,"', '",P22,"', '",Q22,"', '",R22,"', ",S22)</f>
        <v>EXECUTE [dbo].[PG_CI_RAZON_SOCIAL] 0,0,0, 26, 'HIDROGAS / ACAPULCO', 'HIACA', 1,'HIDROGAS ACAPULCO SA DE CV', 'HAC8205109V4', '', '', '', 'BOULEVARD TOMAS FERNANDEZ', '8255', '11B', 'LOS PARQUES', 'JUAREZ', '32440', 'JUAREZ', 0</v>
      </c>
    </row>
    <row r="23" spans="1:22" x14ac:dyDescent="0.3">
      <c r="A23" s="1">
        <v>0</v>
      </c>
      <c r="B23" s="1">
        <v>0</v>
      </c>
      <c r="C23" s="1">
        <v>28</v>
      </c>
      <c r="D23" s="7" t="s">
        <v>183</v>
      </c>
      <c r="E23" s="8" t="s">
        <v>165</v>
      </c>
      <c r="F23" s="8">
        <v>1</v>
      </c>
      <c r="G23" t="s">
        <v>40</v>
      </c>
      <c r="H23" s="3" t="s">
        <v>66</v>
      </c>
      <c r="L23" t="s">
        <v>90</v>
      </c>
      <c r="M23" t="s">
        <v>94</v>
      </c>
      <c r="O23" t="s">
        <v>116</v>
      </c>
      <c r="P23" t="s">
        <v>121</v>
      </c>
      <c r="Q23">
        <v>31050</v>
      </c>
      <c r="R23" t="s">
        <v>121</v>
      </c>
      <c r="S23">
        <v>0</v>
      </c>
      <c r="V23" s="13" t="str">
        <f>CONCATENATE("EXECUTE ",$U$1,"0,0,0, ",C23,", '",D23,"', '",E23,"', ",F23, ",'", G23,"', '",H23,"', '",I23,"', '",J23,"', '",K23,"', '",L23,"', '",M23,"', '",N23,"', '",O23,"', '",P23,"', '",Q23,"', '",R23,"', ",S23)</f>
        <v>EXECUTE [dbo].[PG_CI_RAZON_SOCIAL] 0,0,0, 28, 'HIDROGAS / CHIHUAHUA', 'HICHI', 1,'HIDROGAS DE CHIHUAHUA S.A. DE C.V.', 'HCI8401303N0', '', '', '', 'AV. FUENTES MARES KM. 1', 'S/N', '', 'SANTA ROSA', 'CHIHUAHUA', '31050', 'CHIHUAHUA', 0</v>
      </c>
    </row>
    <row r="24" spans="1:22" x14ac:dyDescent="0.3">
      <c r="A24" s="1">
        <v>0</v>
      </c>
      <c r="B24" s="1">
        <v>0</v>
      </c>
      <c r="C24" s="1">
        <v>47</v>
      </c>
      <c r="D24" s="7" t="s">
        <v>145</v>
      </c>
      <c r="E24" s="8" t="s">
        <v>162</v>
      </c>
      <c r="F24" s="8">
        <v>1</v>
      </c>
      <c r="G24" t="s">
        <v>41</v>
      </c>
      <c r="H24" s="3" t="s">
        <v>67</v>
      </c>
      <c r="L24" t="s">
        <v>91</v>
      </c>
      <c r="M24" t="s">
        <v>98</v>
      </c>
      <c r="O24" t="s">
        <v>117</v>
      </c>
      <c r="P24" t="s">
        <v>138</v>
      </c>
      <c r="Q24">
        <v>77530</v>
      </c>
      <c r="R24" t="s">
        <v>138</v>
      </c>
      <c r="S24">
        <v>0</v>
      </c>
      <c r="V24" s="13" t="str">
        <f>CONCATENATE("EXECUTE ",$U$1,"0,0,0, ",C24,", '",D24,"', '",E24,"', ",F24, ",'", G24,"', '",H24,"', '",I24,"', '",J24,"', '",K24,"', '",L24,"', '",M24,"', '",N24,"', '",O24,"', '",P24,"', '",Q24,"', '",R24,"', ",S24)</f>
        <v>EXECUTE [dbo].[PG_CI_RAZON_SOCIAL] 0,0,0, 47, 'HOLBOX ', 'HOLBX', 1,'HOLBOX GAS, S.A. DE C.V.', 'HGA0301158L7', '', '', '', 'AV. INDUSTRIAL MANZANA 27', 'LOTE 06', '', 'REG 97', 'BENITO JUAREZ', '77530', 'BENITO JUAREZ', 0</v>
      </c>
    </row>
    <row r="25" spans="1:22" x14ac:dyDescent="0.3">
      <c r="A25" s="1">
        <v>0</v>
      </c>
      <c r="B25" s="1">
        <v>0</v>
      </c>
      <c r="C25" s="1">
        <v>30</v>
      </c>
      <c r="D25" s="7" t="s">
        <v>150</v>
      </c>
      <c r="E25" s="8" t="s">
        <v>150</v>
      </c>
      <c r="F25" s="8">
        <v>8</v>
      </c>
      <c r="G25" t="s">
        <v>42</v>
      </c>
      <c r="H25" s="3" t="s">
        <v>68</v>
      </c>
      <c r="L25" t="s">
        <v>92</v>
      </c>
      <c r="M25" t="s">
        <v>99</v>
      </c>
      <c r="O25" t="s">
        <v>118</v>
      </c>
      <c r="P25" t="s">
        <v>139</v>
      </c>
      <c r="Q25">
        <v>32685</v>
      </c>
      <c r="R25" t="s">
        <v>126</v>
      </c>
      <c r="S25">
        <v>0</v>
      </c>
      <c r="V25" s="13" t="str">
        <f>CONCATENATE("EXECUTE ",$U$1,"0,0,0, ",C25,", '",D25,"', '",E25,"', ",F25, ",'", G25,"', '",H25,"', '",I25,"', '",J25,"', '",K25,"', '",L25,"', '",M25,"', '",N25,"', '",O25,"', '",P25,"', '",Q25,"', '",R25,"', ",S25)</f>
        <v>EXECUTE [dbo].[PG_CI_RAZON_SOCIAL] 0,0,0, 30, 'INZA', 'INZA', 8,'INDUSTRIAS ZARAGOZA DIVISION PRODUCTOS METALICOS, S.A. DE C.V.', 'IZD830721361', '', '', '', 'CARR. PANAMERICANA', 'KM 17', '', 'NUEVO HIPODROMO', 'CD JUAREZ', '32685', 'JUAREZ', 0</v>
      </c>
    </row>
    <row r="26" spans="1:22" x14ac:dyDescent="0.3">
      <c r="A26" s="1">
        <v>0</v>
      </c>
      <c r="B26" s="1">
        <v>0</v>
      </c>
      <c r="C26" s="1">
        <v>65</v>
      </c>
      <c r="D26" s="7" t="s">
        <v>368</v>
      </c>
      <c r="E26" s="8" t="s">
        <v>163</v>
      </c>
      <c r="F26" s="8">
        <v>1</v>
      </c>
      <c r="G26" t="s">
        <v>43</v>
      </c>
      <c r="H26" s="3" t="s">
        <v>69</v>
      </c>
      <c r="L26" t="s">
        <v>93</v>
      </c>
      <c r="M26" t="s">
        <v>94</v>
      </c>
      <c r="O26" t="s">
        <v>119</v>
      </c>
      <c r="P26" t="s">
        <v>140</v>
      </c>
      <c r="Q26">
        <v>45331</v>
      </c>
      <c r="R26" t="s">
        <v>140</v>
      </c>
      <c r="S26">
        <v>0</v>
      </c>
      <c r="V26" s="13" t="str">
        <f>CONCATENATE("EXECUTE ",$U$1,"0,0,0, ",C26,", '",D26,"', '",E26,"', ",F26, ",'", G26,"', '",H26,"', '",I26,"', '",J26,"', '",K26,"', '",L26,"', '",M26,"', '",N26,"', '",O26,"', '",P26,"', '",Q26,"', '",R26,"', ",S26)</f>
        <v>EXECUTE [dbo].[PG_CI_RAZON_SOCIAL] 0,0,0, 65, 'MAMEME (GAS)', 'MAMEM', 1,'MAMEME GAS, S.A. DE C.V.', 'MGA0902271A0', '', '', '', 'CARRETERA TALA SANTA CRUZ KM 7.40', 'S/N', '', 'SAN JUAN DE LOS ARCOS', 'TALA', '45331', 'TALA', 0</v>
      </c>
    </row>
    <row r="27" spans="1:22" x14ac:dyDescent="0.3">
      <c r="A27" s="1">
        <v>0</v>
      </c>
      <c r="B27" s="1">
        <v>0</v>
      </c>
      <c r="C27" s="1">
        <v>42</v>
      </c>
      <c r="D27" s="7" t="s">
        <v>146</v>
      </c>
      <c r="E27" s="8" t="s">
        <v>164</v>
      </c>
      <c r="F27" s="8">
        <v>1</v>
      </c>
      <c r="G27" t="s">
        <v>44</v>
      </c>
      <c r="H27" s="3" t="s">
        <v>70</v>
      </c>
      <c r="L27" t="s">
        <v>86</v>
      </c>
      <c r="M27">
        <v>7</v>
      </c>
      <c r="O27" t="s">
        <v>120</v>
      </c>
      <c r="P27" t="s">
        <v>141</v>
      </c>
      <c r="Q27">
        <v>54180</v>
      </c>
      <c r="R27" t="s">
        <v>141</v>
      </c>
      <c r="S27">
        <v>0</v>
      </c>
      <c r="V27" s="13" t="str">
        <f>CONCATENATE("EXECUTE ",$U$1,"0,0,0, ",C27,", '",D27,"', '",E27,"', ",F27, ",'", G27,"', '",H27,"', '",I27,"', '",J27,"', '",K27,"', '",L27,"', '",M27,"', '",N27,"', '",O27,"', '",P27,"', '",Q27,"', '",R27,"', ",S27)</f>
        <v>EXECUTE [dbo].[PG_CI_RAZON_SOCIAL] 0,0,0, 42, 'UNIGAS', 'UNIGS', 1,'UNIGAS SA DE CV', 'UGA810602EX1', '', '', '', 'AV SAN JOSE', '7', '', 'LA PRESA', 'TLALNEPANTLA', '54180', 'TLALNEPANTLA', 0</v>
      </c>
    </row>
    <row r="28" spans="1:22" x14ac:dyDescent="0.3">
      <c r="A28" s="1">
        <v>0</v>
      </c>
      <c r="B28" s="1">
        <v>0</v>
      </c>
      <c r="C28" s="1">
        <v>1</v>
      </c>
      <c r="D28" t="s">
        <v>388</v>
      </c>
      <c r="E28" s="2" t="s">
        <v>296</v>
      </c>
      <c r="F28" s="2">
        <v>6</v>
      </c>
      <c r="G28" t="s">
        <v>184</v>
      </c>
      <c r="H28" s="2" t="str">
        <f>'ERM EMPRESA'!D28</f>
        <v>N/D</v>
      </c>
      <c r="S28">
        <v>0</v>
      </c>
      <c r="V28" s="13" t="str">
        <f>CONCATENATE("EXECUTE ",$U$1,"0,0,0, ",C28,", '",D28,"', '",E28,"', ",F28, ",'", G28,"', '",H28,"', '",I28,"', '",J28,"', '",K28,"', '",L28,"', '",M28,"', '",N28,"', '",O28,"', '",P28,"', '",Q28,"', '",R28,"', ",S28)</f>
        <v>EXECUTE [dbo].[PG_CI_RAZON_SOCIAL] 0,0,0, 1, 'AEROSILZA', 'AEROS', 6,'AEROSILZA S.A. DE C.V.', 'N/D', '', '', '', '', '', '', '', '', '', '', 0</v>
      </c>
    </row>
    <row r="29" spans="1:22" x14ac:dyDescent="0.3">
      <c r="A29" s="1">
        <v>0</v>
      </c>
      <c r="B29" s="1">
        <v>0</v>
      </c>
      <c r="C29" s="1">
        <v>2</v>
      </c>
      <c r="D29" t="s">
        <v>389</v>
      </c>
      <c r="E29" s="2" t="s">
        <v>297</v>
      </c>
      <c r="F29" s="2">
        <v>6</v>
      </c>
      <c r="G29" t="s">
        <v>185</v>
      </c>
      <c r="H29" s="2" t="str">
        <f>'ERM EMPRESA'!D29</f>
        <v>N/D</v>
      </c>
      <c r="S29">
        <v>0</v>
      </c>
      <c r="V29" s="13" t="str">
        <f>CONCATENATE("EXECUTE ",$U$1,"0,0,0, ",C29,", '",D29,"', '",E29,"', ",F29, ",'", G29,"', '",H29,"', '",I29,"', '",J29,"', '",K29,"', '",L29,"', '",M29,"', '",N29,"', '",O29,"', '",P29,"', '",Q29,"', '",R29,"', ",S29)</f>
        <v>EXECUTE [dbo].[PG_CI_RAZON_SOCIAL] 0,0,0, 2, 'AEROTOMZA', 'AEROT', 6,'AEROTOMZA S.A. DE C.V.', 'N/D', '', '', '', '', '', '', '', '', '', '', 0</v>
      </c>
    </row>
    <row r="30" spans="1:22" x14ac:dyDescent="0.3">
      <c r="A30" s="1">
        <v>0</v>
      </c>
      <c r="B30" s="1">
        <v>0</v>
      </c>
      <c r="C30" s="1">
        <v>3</v>
      </c>
      <c r="D30" t="s">
        <v>382</v>
      </c>
      <c r="E30" s="2" t="s">
        <v>298</v>
      </c>
      <c r="F30" s="2">
        <v>99</v>
      </c>
      <c r="G30" t="s">
        <v>186</v>
      </c>
      <c r="H30" s="2" t="str">
        <f>'ERM EMPRESA'!D30</f>
        <v>N/D</v>
      </c>
      <c r="S30">
        <v>0</v>
      </c>
      <c r="V30" s="13" t="str">
        <f>CONCATENATE("EXECUTE ",$U$1,"0,0,0, ",C30,", '",D30,"', '",E30,"', ",F30, ",'", G30,"', '",H30,"', '",I30,"', '",J30,"', '",K30,"', '",L30,"', '",M30,"', '",N30,"', '",O30,"', '",P30,"', '",Q30,"', '",R30,"', ",S30)</f>
        <v>EXECUTE [dbo].[PG_CI_RAZON_SOCIAL] 0,0,0, 3, 'APPLEMEX', 'APPMX', 99,'APPLEMEX S.A. DE C.V.', 'N/D', '', '', '', '', '', '', '', '', '', '', 0</v>
      </c>
    </row>
    <row r="31" spans="1:22" x14ac:dyDescent="0.3">
      <c r="A31" s="1">
        <v>0</v>
      </c>
      <c r="B31" s="1">
        <v>0</v>
      </c>
      <c r="C31" s="1">
        <v>4</v>
      </c>
      <c r="D31" t="s">
        <v>299</v>
      </c>
      <c r="E31" s="2" t="s">
        <v>299</v>
      </c>
      <c r="F31" s="2">
        <v>8</v>
      </c>
      <c r="G31" t="s">
        <v>187</v>
      </c>
      <c r="H31" s="2" t="str">
        <f>'ERM EMPRESA'!D31</f>
        <v>N/D</v>
      </c>
      <c r="S31">
        <v>0</v>
      </c>
      <c r="V31" s="13" t="str">
        <f>CONCATENATE("EXECUTE ",$U$1,"0,0,0, ",C31,", '",D31,"', '",E31,"', ",F31, ",'", G31,"', '",H31,"', '",I31,"', '",J31,"', '",K31,"', '",L31,"', '",M31,"', '",N31,"', '",O31,"', '",P31,"', '",Q31,"', '",R31,"', ",S31)</f>
        <v>EXECUTE [dbo].[PG_CI_RAZON_SOCIAL] 0,0,0, 4, 'ASPTA', 'ASPTA', 8,'ASESORIA Y SERVICIOS PROFECIONALES TECNICOS Y ADMINISTRATIVOS S.A. DE C.V.', 'N/D', '', '', '', '', '', '', '', '', '', '', 0</v>
      </c>
    </row>
    <row r="32" spans="1:22" x14ac:dyDescent="0.3">
      <c r="A32" s="1">
        <v>0</v>
      </c>
      <c r="B32" s="1">
        <v>0</v>
      </c>
      <c r="C32" s="1">
        <v>5</v>
      </c>
      <c r="D32" t="s">
        <v>380</v>
      </c>
      <c r="E32" s="2" t="s">
        <v>300</v>
      </c>
      <c r="F32" s="2">
        <v>99</v>
      </c>
      <c r="G32" t="s">
        <v>188</v>
      </c>
      <c r="H32" s="2" t="str">
        <f>'ERM EMPRESA'!D32</f>
        <v>N/D</v>
      </c>
      <c r="S32">
        <v>0</v>
      </c>
      <c r="V32" s="13" t="str">
        <f>CONCATENATE("EXECUTE ",$U$1,"0,0,0, ",C32,", '",D32,"', '",E32,"', ",F32, ",'", G32,"', '",H32,"', '",I32,"', '",J32,"', '",K32,"', '",L32,"', '",M32,"', '",N32,"', '",O32,"', '",P32,"', '",Q32,"', '",R32,"', ",S32)</f>
        <v>EXECUTE [dbo].[PG_CI_RAZON_SOCIAL] 0,0,0, 5, 'COLECCION ARTISTICA SILZA', 'CARTS', 99,'COLECCION ARTISTICA SILZA S.A DE C.V.', 'N/D', '', '', '', '', '', '', '', '', '', '', 0</v>
      </c>
    </row>
    <row r="33" spans="1:22" x14ac:dyDescent="0.3">
      <c r="A33" s="1">
        <v>0</v>
      </c>
      <c r="B33" s="1">
        <v>0</v>
      </c>
      <c r="C33" s="1">
        <v>7</v>
      </c>
      <c r="D33" t="s">
        <v>190</v>
      </c>
      <c r="E33" s="2" t="s">
        <v>301</v>
      </c>
      <c r="F33" s="2">
        <v>1</v>
      </c>
      <c r="G33" t="s">
        <v>190</v>
      </c>
      <c r="H33" s="2" t="str">
        <f>'ERM EMPRESA'!D33</f>
        <v>N/D</v>
      </c>
      <c r="S33">
        <v>0</v>
      </c>
      <c r="V33" s="13" t="str">
        <f>CONCATENATE("EXECUTE ",$U$1,"0,0,0, ",C33,", '",D33,"', '",E33,"', ",F33, ",'", G33,"', '",H33,"', '",I33,"', '",J33,"', '",K33,"', '",L33,"', '",M33,"', '",N33,"', '",O33,"', '",P33,"', '",Q33,"', '",R33,"', ",S33)</f>
        <v>EXECUTE [dbo].[PG_CI_RAZON_SOCIAL] 0,0,0, 7, 'COMPAÑIA MEXICANA DE GAS COMBUSTIBLE S.A. DE C.V. TEHUACAN', 'MEXTE', 1,'COMPAÑIA MEXICANA DE GAS COMBUSTIBLE S.A. DE C.V. TEHUACAN', 'N/D', '', '', '', '', '', '', '', '', '', '', 0</v>
      </c>
    </row>
    <row r="34" spans="1:22" x14ac:dyDescent="0.3">
      <c r="A34" s="1">
        <v>0</v>
      </c>
      <c r="B34" s="1">
        <v>0</v>
      </c>
      <c r="C34" s="1">
        <v>8</v>
      </c>
      <c r="D34" t="s">
        <v>381</v>
      </c>
      <c r="E34" s="2" t="s">
        <v>302</v>
      </c>
      <c r="F34" s="2">
        <v>4</v>
      </c>
      <c r="G34" t="s">
        <v>191</v>
      </c>
      <c r="H34" s="2" t="str">
        <f>'ERM EMPRESA'!D34</f>
        <v>N/D</v>
      </c>
      <c r="S34">
        <v>0</v>
      </c>
      <c r="V34" s="13" t="str">
        <f>CONCATENATE("EXECUTE ",$U$1,"0,0,0, ",C34,", '",D34,"', '",E34,"', ",F34, ",'", G34,"', '",H34,"', '",I34,"', '",J34,"', '",K34,"', '",L34,"', '",M34,"', '",N34,"', '",O34,"', '",P34,"', '",Q34,"', '",R34,"', ",S34)</f>
        <v>EXECUTE [dbo].[PG_CI_RAZON_SOCIAL] 0,0,0, 8, 'DESARROLLOS ESMERALDA', 'ESMER', 4,'DESARROLLOS ESMERALDA S.A. DE C.V.', 'N/D', '', '', '', '', '', '', '', '', '', '', 0</v>
      </c>
    </row>
    <row r="35" spans="1:22" x14ac:dyDescent="0.3">
      <c r="A35" s="1">
        <v>0</v>
      </c>
      <c r="B35" s="1">
        <v>0</v>
      </c>
      <c r="C35" s="1">
        <v>9</v>
      </c>
      <c r="D35" t="s">
        <v>394</v>
      </c>
      <c r="E35" s="2" t="s">
        <v>303</v>
      </c>
      <c r="F35" s="2">
        <v>8</v>
      </c>
      <c r="G35" t="s">
        <v>192</v>
      </c>
      <c r="H35" s="2" t="str">
        <f>'ERM EMPRESA'!D35</f>
        <v>N/D</v>
      </c>
      <c r="S35">
        <v>0</v>
      </c>
      <c r="V35" s="13" t="str">
        <f>CONCATENATE("EXECUTE ",$U$1,"0,0,0, ",C35,", '",D35,"', '",E35,"', ",F35, ",'", G35,"', '",H35,"', '",I35,"', '",J35,"', '",K35,"', '",L35,"', '",M35,"', '",N35,"', '",O35,"', '",P35,"', '",Q35,"', '",R35,"', ",S35)</f>
        <v>EXECUTE [dbo].[PG_CI_RAZON_SOCIAL] 0,0,0, 9, 'ESTACIONES SERVICIO SILZA', 'SERVS', 8,'ESTACIONES DE SERVICIO SILZA S.A. DE C.V.', 'N/D', '', '', '', '', '', '', '', '', '', '', 0</v>
      </c>
    </row>
    <row r="36" spans="1:22" x14ac:dyDescent="0.3">
      <c r="A36" s="1">
        <v>0</v>
      </c>
      <c r="B36" s="1">
        <v>0</v>
      </c>
      <c r="C36" s="1">
        <v>14</v>
      </c>
      <c r="D36" t="s">
        <v>379</v>
      </c>
      <c r="E36" s="2" t="s">
        <v>304</v>
      </c>
      <c r="F36" s="2">
        <v>1</v>
      </c>
      <c r="G36" t="s">
        <v>196</v>
      </c>
      <c r="H36" s="2" t="str">
        <f>'ERM EMPRESA'!D36</f>
        <v>N/D</v>
      </c>
      <c r="S36">
        <v>0</v>
      </c>
      <c r="V36" s="13" t="str">
        <f>CONCATENATE("EXECUTE ",$U$1,"0,0,0, ",C36,", '",D36,"', '",E36,"', ",F36, ",'", G36,"', '",H36,"', '",I36,"', '",J36,"', '",K36,"', '",L36,"', '",M36,"', '",N36,"', '",O36,"', '",P36,"', '",Q36,"', '",R36,"', ",S36)</f>
        <v>EXECUTE [dbo].[PG_CI_RAZON_SOCIAL] 0,0,0, 14, 'DEL PACIFICO (GAS)', 'GSPAC', 1,'GAS DEL PACIFICO S.A. DE C.V.', 'N/D', '', '', '', '', '', '', '', '', '', '', 0</v>
      </c>
    </row>
    <row r="37" spans="1:22" x14ac:dyDescent="0.3">
      <c r="A37" s="1">
        <v>0</v>
      </c>
      <c r="B37" s="1">
        <v>0</v>
      </c>
      <c r="C37" s="1">
        <v>17</v>
      </c>
      <c r="D37" t="s">
        <v>369</v>
      </c>
      <c r="E37" s="2" t="s">
        <v>305</v>
      </c>
      <c r="F37" s="2">
        <v>1</v>
      </c>
      <c r="G37" t="s">
        <v>199</v>
      </c>
      <c r="H37" s="2" t="str">
        <f>'ERM EMPRESA'!D37</f>
        <v>N/D</v>
      </c>
      <c r="S37">
        <v>0</v>
      </c>
      <c r="V37" s="13" t="str">
        <f>CONCATENATE("EXECUTE ",$U$1,"0,0,0, ",C37,", '",D37,"', '",E37,"', ",F37, ",'", G37,"', '",H37,"', '",I37,"', '",J37,"', '",K37,"', '",L37,"', '",M37,"', '",N37,"', '",O37,"', '",P37,"', '",Q37,"', '",R37,"', ",S37)</f>
        <v>EXECUTE [dbo].[PG_CI_RAZON_SOCIAL] 0,0,0, 17, 'SILZA DE MEXICO (GAS)', 'GSILM', 1,'GAS SILZA DE MEXICO S.A. DE C.V.', 'N/D', '', '', '', '', '', '', '', '', '', '', 0</v>
      </c>
    </row>
    <row r="38" spans="1:22" x14ac:dyDescent="0.3">
      <c r="A38" s="1">
        <v>0</v>
      </c>
      <c r="B38" s="1">
        <v>0</v>
      </c>
      <c r="C38" s="1">
        <v>18</v>
      </c>
      <c r="D38" t="s">
        <v>370</v>
      </c>
      <c r="E38" s="2" t="s">
        <v>306</v>
      </c>
      <c r="F38" s="2">
        <v>1</v>
      </c>
      <c r="G38" t="s">
        <v>200</v>
      </c>
      <c r="H38" s="2" t="str">
        <f>'ERM EMPRESA'!D38</f>
        <v>N/D</v>
      </c>
      <c r="S38">
        <v>0</v>
      </c>
      <c r="V38" s="13" t="str">
        <f>CONCATENATE("EXECUTE ",$U$1,"0,0,0, ",C38,", '",D38,"', '",E38,"', ",F38, ",'", G38,"', '",H38,"', '",I38,"', '",J38,"', '",K38,"', '",L38,"', '",M38,"', '",N38,"', '",O38,"', '",P38,"', '",Q38,"', '",R38,"', ",S38)</f>
        <v>EXECUTE [dbo].[PG_CI_RAZON_SOCIAL] 0,0,0, 18, 'TOMZA DE LA LAGUNA (GAS)', 'GTLAG', 1,'GAS TOMZA DE LA LAGUNA S.A. DE C.V.', 'N/D', '', '', '', '', '', '', '', '', '', '', 0</v>
      </c>
    </row>
    <row r="39" spans="1:22" x14ac:dyDescent="0.3">
      <c r="A39" s="1">
        <v>0</v>
      </c>
      <c r="B39" s="1">
        <v>0</v>
      </c>
      <c r="C39" s="1">
        <v>20</v>
      </c>
      <c r="D39" t="s">
        <v>371</v>
      </c>
      <c r="E39" s="2" t="s">
        <v>307</v>
      </c>
      <c r="F39" s="2">
        <v>1</v>
      </c>
      <c r="G39" t="s">
        <v>201</v>
      </c>
      <c r="H39" s="2" t="str">
        <f>'ERM EMPRESA'!D39</f>
        <v>N/D</v>
      </c>
      <c r="S39">
        <v>0</v>
      </c>
      <c r="V39" s="13" t="str">
        <f>CONCATENATE("EXECUTE ",$U$1,"0,0,0, ",C39,", '",D39,"', '",E39,"', ",F39, ",'", G39,"', '",H39,"', '",I39,"', '",J39,"', '",K39,"', '",L39,"', '",M39,"', '",N39,"', '",O39,"', '",P39,"', '",Q39,"', '",R39,"', ",S39)</f>
        <v>EXECUTE [dbo].[PG_CI_RAZON_SOCIAL] 0,0,0, 20, 'TOMZA DEL CARIBE (GAS)', 'GTCAR', 1,'GAS TOMZA DEL CARIBE S.A. DE C.V.', 'N/D', '', '', '', '', '', '', '', '', '', '', 0</v>
      </c>
    </row>
    <row r="40" spans="1:22" x14ac:dyDescent="0.3">
      <c r="A40" s="1">
        <v>0</v>
      </c>
      <c r="B40" s="1">
        <v>0</v>
      </c>
      <c r="C40" s="1">
        <v>22</v>
      </c>
      <c r="D40" t="s">
        <v>372</v>
      </c>
      <c r="E40" s="2" t="s">
        <v>308</v>
      </c>
      <c r="F40" s="2">
        <v>1</v>
      </c>
      <c r="G40" t="s">
        <v>203</v>
      </c>
      <c r="H40" s="2" t="str">
        <f>'ERM EMPRESA'!D40</f>
        <v>N/D</v>
      </c>
      <c r="S40">
        <v>0</v>
      </c>
      <c r="V40" s="13" t="str">
        <f>CONCATENATE("EXECUTE ",$U$1,"0,0,0, ",C40,", '",D40,"', '",E40,"', ",F40, ",'", G40,"', '",H40,"', '",I40,"', '",J40,"', '",K40,"', '",L40,"', '",M40,"', '",N40,"', '",O40,"', '",P40,"', '",Q40,"', '",R40,"', ",S40)</f>
        <v>EXECUTE [dbo].[PG_CI_RAZON_SOCIAL] 0,0,0, 22, 'VEHICULAR SILZA (GAS)', 'GVSIL', 1,'GAS VEHICULAR SILZA S.A. DE C.V.', 'N/D', '', '', '', '', '', '', '', '', '', '', 0</v>
      </c>
    </row>
    <row r="41" spans="1:22" x14ac:dyDescent="0.3">
      <c r="A41" s="1">
        <v>0</v>
      </c>
      <c r="B41" s="1">
        <v>0</v>
      </c>
      <c r="C41" s="1">
        <v>29</v>
      </c>
      <c r="D41" t="s">
        <v>361</v>
      </c>
      <c r="E41" s="2" t="s">
        <v>309</v>
      </c>
      <c r="F41" s="2">
        <v>1</v>
      </c>
      <c r="G41" t="s">
        <v>206</v>
      </c>
      <c r="H41" s="2" t="str">
        <f>'ERM EMPRESA'!D41</f>
        <v>N/D</v>
      </c>
      <c r="S41">
        <v>0</v>
      </c>
      <c r="V41" s="13" t="str">
        <f>CONCATENATE("EXECUTE ",$U$1,"0,0,0, ",C41,", '",D41,"', '",E41,"', ",F41, ",'", G41,"', '",H41,"', '",I41,"', '",J41,"', '",K41,"', '",L41,"', '",M41,"', '",N41,"', '",O41,"', '",P41,"', '",Q41,"', '",R41,"', ",S41)</f>
        <v>EXECUTE [dbo].[PG_CI_RAZON_SOCIAL] 0,0,0, 29, 'HIDROGAS DE OJINAGA', 'HOJIN', 1,'HIDROGAS DE OJINAGA S.A. DE CV', 'N/D', '', '', '', '', '', '', '', '', '', '', 0</v>
      </c>
    </row>
    <row r="42" spans="1:22" x14ac:dyDescent="0.3">
      <c r="A42" s="1">
        <v>0</v>
      </c>
      <c r="B42" s="1">
        <v>0</v>
      </c>
      <c r="C42" s="1">
        <v>31</v>
      </c>
      <c r="D42" t="s">
        <v>348</v>
      </c>
      <c r="E42" s="2" t="s">
        <v>310</v>
      </c>
      <c r="F42" s="2">
        <v>4</v>
      </c>
      <c r="G42" t="s">
        <v>208</v>
      </c>
      <c r="H42" s="2" t="str">
        <f>'ERM EMPRESA'!D42</f>
        <v>N/D</v>
      </c>
      <c r="S42">
        <v>0</v>
      </c>
      <c r="V42" s="13" t="str">
        <f>CONCATENATE("EXECUTE ",$U$1,"0,0,0, ",C42,", '",D42,"', '",E42,"', ",F42, ",'", G42,"', '",H42,"', '",I42,"', '",J42,"', '",K42,"', '",L42,"', '",M42,"', '",N42,"', '",O42,"', '",P42,"', '",Q42,"', '",R42,"', ",S42)</f>
        <v>EXECUTE [dbo].[PG_CI_RAZON_SOCIAL] 0,0,0, 31, 'INMOBILIARIA DE MEXICO GINZA', 'IMGIN', 4,'INMOBILIARIA DE MEXICO GINZA S.A. DE C.V.', 'N/D', '', '', '', '', '', '', '', '', '', '', 0</v>
      </c>
    </row>
    <row r="43" spans="1:22" x14ac:dyDescent="0.3">
      <c r="A43" s="1">
        <v>0</v>
      </c>
      <c r="B43" s="1">
        <v>0</v>
      </c>
      <c r="C43" s="1">
        <v>32</v>
      </c>
      <c r="D43" t="s">
        <v>349</v>
      </c>
      <c r="E43" s="2" t="s">
        <v>311</v>
      </c>
      <c r="F43" s="2">
        <v>4</v>
      </c>
      <c r="G43" t="s">
        <v>209</v>
      </c>
      <c r="H43" s="2" t="str">
        <f>'ERM EMPRESA'!D43</f>
        <v>N/D</v>
      </c>
      <c r="S43">
        <v>0</v>
      </c>
      <c r="V43" s="13" t="str">
        <f>CONCATENATE("EXECUTE ",$U$1,"0,0,0, ",C43,", '",D43,"', '",E43,"', ",F43, ",'", G43,"', '",H43,"', '",I43,"', '",J43,"', '",K43,"', '",L43,"', '",M43,"', '",N43,"', '",O43,"', '",P43,"', '",Q43,"', '",R43,"', ",S43)</f>
        <v>EXECUTE [dbo].[PG_CI_RAZON_SOCIAL] 0,0,0, 32, 'INMOBILIARIA LOS MEDANOS', 'IMEDA', 4,'INMOBILIARIA LOS MEDANOS S.A. DE C.V.', 'N/D', '', '', '', '', '', '', '', '', '', '', 0</v>
      </c>
    </row>
    <row r="44" spans="1:22" x14ac:dyDescent="0.3">
      <c r="A44" s="1">
        <v>0</v>
      </c>
      <c r="B44" s="1">
        <v>0</v>
      </c>
      <c r="C44" s="1">
        <v>33</v>
      </c>
      <c r="D44" t="s">
        <v>350</v>
      </c>
      <c r="E44" s="2" t="s">
        <v>312</v>
      </c>
      <c r="F44" s="2">
        <v>4</v>
      </c>
      <c r="G44" t="s">
        <v>210</v>
      </c>
      <c r="H44" s="2" t="str">
        <f>'ERM EMPRESA'!D44</f>
        <v>N/D</v>
      </c>
      <c r="S44">
        <v>0</v>
      </c>
      <c r="V44" s="13" t="str">
        <f>CONCATENATE("EXECUTE ",$U$1,"0,0,0, ",C44,", '",D44,"', '",E44,"', ",F44, ",'", G44,"', '",H44,"', '",I44,"', '",J44,"', '",K44,"', '",L44,"', '",M44,"', '",N44,"', '",O44,"', '",P44,"', '",Q44,"', '",R44,"', ",S44)</f>
        <v>EXECUTE [dbo].[PG_CI_RAZON_SOCIAL] 0,0,0, 33, 'INMOBILIARIA SILZA', 'ISILZ', 4,'INMOBILIARIA SILZA S.A. DE C.V.', 'N/D', '', '', '', '', '', '', '', '', '', '', 0</v>
      </c>
    </row>
    <row r="45" spans="1:22" x14ac:dyDescent="0.3">
      <c r="A45" s="1">
        <v>0</v>
      </c>
      <c r="B45" s="1">
        <v>0</v>
      </c>
      <c r="C45" s="1">
        <v>34</v>
      </c>
      <c r="D45" t="s">
        <v>351</v>
      </c>
      <c r="E45" s="2" t="s">
        <v>313</v>
      </c>
      <c r="F45" s="2">
        <v>4</v>
      </c>
      <c r="G45" t="s">
        <v>211</v>
      </c>
      <c r="H45" s="2" t="str">
        <f>'ERM EMPRESA'!D45</f>
        <v>N/D</v>
      </c>
      <c r="S45">
        <v>0</v>
      </c>
      <c r="V45" s="13" t="str">
        <f>CONCATENATE("EXECUTE ",$U$1,"0,0,0, ",C45,", '",D45,"', '",E45,"', ",F45, ",'", G45,"', '",H45,"', '",I45,"', '",J45,"', '",K45,"', '",L45,"', '",M45,"', '",N45,"', '",O45,"', '",P45,"', '",Q45,"', '",R45,"', ",S45)</f>
        <v>EXECUTE [dbo].[PG_CI_RAZON_SOCIAL] 0,0,0, 34, 'INMOBILIARIA TOMZA', 'ITOMZ', 4,'INMOBILIARIA TOMZA S.A. DE C.V.', 'N/D', '', '', '', '', '', '', '', '', '', '', 0</v>
      </c>
    </row>
    <row r="46" spans="1:22" x14ac:dyDescent="0.3">
      <c r="A46" s="1">
        <v>0</v>
      </c>
      <c r="B46" s="1">
        <v>0</v>
      </c>
      <c r="C46" s="1">
        <v>35</v>
      </c>
      <c r="D46" t="s">
        <v>352</v>
      </c>
      <c r="E46" s="2" t="s">
        <v>314</v>
      </c>
      <c r="F46" s="2">
        <v>4</v>
      </c>
      <c r="G46" t="s">
        <v>212</v>
      </c>
      <c r="H46" s="2" t="str">
        <f>'ERM EMPRESA'!D46</f>
        <v>N/D</v>
      </c>
      <c r="S46">
        <v>0</v>
      </c>
      <c r="V46" s="13" t="str">
        <f>CONCATENATE("EXECUTE ",$U$1,"0,0,0, ",C46,", '",D46,"', '",E46,"', ",F46, ",'", G46,"', '",H46,"', '",I46,"', '",J46,"', '",K46,"', '",L46,"', '",M46,"', '",N46,"', '",O46,"', '",P46,"', '",Q46,"', '",R46,"', ",S46)</f>
        <v>EXECUTE [dbo].[PG_CI_RAZON_SOCIAL] 0,0,0, 35, 'INMOBILIARIA ZARAGOZA ITO', 'IZARZ', 4,'INMOBILIARIA ZARAGOZA ITO S.A. DE C.V.', 'N/D', '', '', '', '', '', '', '', '', '', '', 0</v>
      </c>
    </row>
    <row r="47" spans="1:22" x14ac:dyDescent="0.3">
      <c r="A47" s="1">
        <v>0</v>
      </c>
      <c r="B47" s="1">
        <v>0</v>
      </c>
      <c r="C47" s="1">
        <v>37</v>
      </c>
      <c r="D47" t="s">
        <v>395</v>
      </c>
      <c r="E47" s="2" t="s">
        <v>315</v>
      </c>
      <c r="F47" s="2">
        <v>5</v>
      </c>
      <c r="G47" t="s">
        <v>214</v>
      </c>
      <c r="H47" s="2" t="str">
        <f>'ERM EMPRESA'!D47</f>
        <v>N/D</v>
      </c>
      <c r="S47">
        <v>0</v>
      </c>
      <c r="V47" s="13" t="str">
        <f>CONCATENATE("EXECUTE ",$U$1,"0,0,0, ",C47,", '",D47,"', '",E47,"', ",F47, ",'", G47,"', '",H47,"', '",I47,"', '",J47,"', '",K47,"', '",L47,"', '",M47,"', '",N47,"', '",O47,"', '",P47,"', '",Q47,"', '",R47,"', ",S47)</f>
        <v>EXECUTE [dbo].[PG_CI_RAZON_SOCIAL] 0,0,0, 37, 'SR. ENRIQUE ZARAGOZA ITO', 'ENZAI', 5,'SR. ENRIQUE ZARAGOZA ITO.', 'N/D', '', '', '', '', '', '', '', '', '', '', 0</v>
      </c>
    </row>
    <row r="48" spans="1:22" x14ac:dyDescent="0.3">
      <c r="A48" s="1">
        <v>0</v>
      </c>
      <c r="B48" s="1">
        <v>0</v>
      </c>
      <c r="C48" s="1">
        <v>38</v>
      </c>
      <c r="D48" t="s">
        <v>396</v>
      </c>
      <c r="E48" s="2" t="s">
        <v>316</v>
      </c>
      <c r="F48" s="2">
        <v>5</v>
      </c>
      <c r="G48" t="s">
        <v>215</v>
      </c>
      <c r="H48" s="2" t="str">
        <f>'ERM EMPRESA'!D48</f>
        <v>N/D</v>
      </c>
      <c r="S48">
        <v>0</v>
      </c>
      <c r="V48" s="13" t="str">
        <f>CONCATENATE("EXECUTE ",$U$1,"0,0,0, ",C48,", '",D48,"', '",E48,"', ",F48, ",'", G48,"', '",H48,"', '",I48,"', '",J48,"', '",K48,"', '",L48,"', '",M48,"', '",N48,"', '",O48,"', '",P48,"', '",Q48,"', '",R48,"', ",S48)</f>
        <v>EXECUTE [dbo].[PG_CI_RAZON_SOCIAL] 0,0,0, 38, 'SR. TOMAS ZARAGOZA FUENTES', 'TOZAF', 5,'SR. TOMAS ZARAGOZA FUENTES.', 'N/D', '', '', '', '', '', '', '', '', '', '', 0</v>
      </c>
    </row>
    <row r="49" spans="1:22" x14ac:dyDescent="0.3">
      <c r="A49" s="1">
        <v>0</v>
      </c>
      <c r="B49" s="1">
        <v>0</v>
      </c>
      <c r="C49" s="1">
        <v>39</v>
      </c>
      <c r="D49" t="s">
        <v>397</v>
      </c>
      <c r="E49" s="2" t="s">
        <v>317</v>
      </c>
      <c r="F49" s="2">
        <v>5</v>
      </c>
      <c r="G49" t="s">
        <v>216</v>
      </c>
      <c r="H49" s="2" t="str">
        <f>'ERM EMPRESA'!D49</f>
        <v>N/D</v>
      </c>
      <c r="S49">
        <v>0</v>
      </c>
      <c r="V49" s="13" t="str">
        <f>CONCATENATE("EXECUTE ",$U$1,"0,0,0, ",C49,", '",D49,"', '",E49,"', ",F49, ",'", G49,"', '",H49,"', '",I49,"', '",J49,"', '",K49,"', '",L49,"', '",M49,"', '",N49,"', '",O49,"', '",P49,"', '",Q49,"', '",R49,"', ",S49)</f>
        <v>EXECUTE [dbo].[PG_CI_RAZON_SOCIAL] 0,0,0, 39, 'SR. TOMAS ZARAGOZA ITO', 'TOZAI', 5,'SR. TOMAS ZARAGOZA ITO.', 'N/D', '', '', '', '', '', '', '', '', '', '', 0</v>
      </c>
    </row>
    <row r="50" spans="1:22" x14ac:dyDescent="0.3">
      <c r="A50" s="1">
        <v>0</v>
      </c>
      <c r="B50" s="1">
        <v>0</v>
      </c>
      <c r="C50" s="1">
        <v>40</v>
      </c>
      <c r="D50" t="s">
        <v>398</v>
      </c>
      <c r="E50" s="2" t="s">
        <v>318</v>
      </c>
      <c r="F50" s="2">
        <v>5</v>
      </c>
      <c r="G50" t="s">
        <v>217</v>
      </c>
      <c r="H50" s="2" t="str">
        <f>'ERM EMPRESA'!D50</f>
        <v>N/D</v>
      </c>
      <c r="S50">
        <v>0</v>
      </c>
      <c r="V50" s="13" t="str">
        <f>CONCATENATE("EXECUTE ",$U$1,"0,0,0, ",C50,", '",D50,"', '",E50,"', ",F50, ",'", G50,"', '",H50,"', '",I50,"', '",J50,"', '",K50,"', '",L50,"', '",M50,"', '",N50,"', '",O50,"', '",P50,"', '",Q50,"', '",R50,"', ",S50)</f>
        <v>EXECUTE [dbo].[PG_CI_RAZON_SOCIAL] 0,0,0, 40, 'SRITA. SILVIA ZARAGOZA ITO', 'SIZAI', 5,'SRITA. SILVIA ZARAGOZA ITO.', 'N/D', '', '', '', '', '', '', '', '', '', '', 0</v>
      </c>
    </row>
    <row r="51" spans="1:22" x14ac:dyDescent="0.3">
      <c r="A51" s="1">
        <v>0</v>
      </c>
      <c r="B51" s="1">
        <v>0</v>
      </c>
      <c r="C51" s="1">
        <v>41</v>
      </c>
      <c r="D51" t="s">
        <v>403</v>
      </c>
      <c r="E51" s="2" t="s">
        <v>319</v>
      </c>
      <c r="F51" s="2">
        <v>2</v>
      </c>
      <c r="G51" t="s">
        <v>218</v>
      </c>
      <c r="H51" s="2" t="str">
        <f>'ERM EMPRESA'!D51</f>
        <v>N/D</v>
      </c>
      <c r="S51">
        <v>0</v>
      </c>
      <c r="V51" s="13" t="str">
        <f>CONCATENATE("EXECUTE ",$U$1,"0,0,0, ",C51,", '",D51,"', '",E51,"', ",F51, ",'", G51,"', '",H51,"', '",I51,"', '",J51,"', '",K51,"', '",L51,"', '",M51,"', '",N51,"', '",O51,"', '",P51,"', '",Q51,"', '",R51,"', ",S51)</f>
        <v>EXECUTE [dbo].[PG_CI_RAZON_SOCIAL] 0,0,0, 41, 'TRANSPORTADORA SILZA MX', 'TRSIL', 2,'TRANSPORTADORA SILZA S.A. DE C.V.', 'N/D', '', '', '', '', '', '', '', '', '', '', 0</v>
      </c>
    </row>
    <row r="52" spans="1:22" x14ac:dyDescent="0.3">
      <c r="A52" s="1">
        <v>0</v>
      </c>
      <c r="B52" s="1">
        <v>0</v>
      </c>
      <c r="C52" s="1">
        <v>44</v>
      </c>
      <c r="D52" t="s">
        <v>220</v>
      </c>
      <c r="E52" s="2" t="s">
        <v>320</v>
      </c>
      <c r="F52" s="2">
        <v>99</v>
      </c>
      <c r="G52" t="s">
        <v>220</v>
      </c>
      <c r="H52" s="2" t="str">
        <f>'ERM EMPRESA'!D52</f>
        <v>N/D</v>
      </c>
      <c r="S52">
        <v>0</v>
      </c>
      <c r="V52" s="13" t="str">
        <f>CONCATENATE("EXECUTE ",$U$1,"0,0,0, ",C52,", '",D52,"', '",E52,"', ",F52, ",'", G52,"', '",H52,"', '",I52,"', '",J52,"', '",K52,"', '",L52,"', '",M52,"', '",N52,"', '",O52,"', '",P52,"', '",Q52,"', '",R52,"', ",S52)</f>
        <v>EXECUTE [dbo].[PG_CI_RAZON_SOCIAL] 0,0,0, 44, 'CORPORACION TOMZA', 'CORTZ', 99,'CORPORACION TOMZA', 'N/D', '', '', '', '', '', '', '', '', '', '', 0</v>
      </c>
    </row>
    <row r="53" spans="1:22" x14ac:dyDescent="0.3">
      <c r="A53" s="1">
        <v>0</v>
      </c>
      <c r="B53" s="1">
        <v>0</v>
      </c>
      <c r="C53" s="1">
        <v>50</v>
      </c>
      <c r="D53" t="s">
        <v>383</v>
      </c>
      <c r="E53" s="2" t="s">
        <v>321</v>
      </c>
      <c r="F53" s="2">
        <v>99</v>
      </c>
      <c r="G53" t="s">
        <v>226</v>
      </c>
      <c r="H53" s="2" t="str">
        <f>'ERM EMPRESA'!D53</f>
        <v>N/D</v>
      </c>
      <c r="S53">
        <v>0</v>
      </c>
      <c r="V53" s="13" t="str">
        <f>CONCATENATE("EXECUTE ",$U$1,"0,0,0, ",C53,", '",D53,"', '",E53,"', ",F53, ",'", G53,"', '",H53,"', '",I53,"', '",J53,"', '",K53,"', '",L53,"', '",M53,"', '",N53,"', '",O53,"', '",P53,"', '",Q53,"', '",R53,"', ",S53)</f>
        <v>EXECUTE [dbo].[PG_CI_RAZON_SOCIAL] 0,0,0, 50, 'SUN CITY VENTURES', 'SCVEN', 99,'SUN CITY VENTURES LLC', 'N/D', '', '', '', '', '', '', '', '', '', '', 0</v>
      </c>
    </row>
    <row r="54" spans="1:22" x14ac:dyDescent="0.3">
      <c r="A54" s="1">
        <v>0</v>
      </c>
      <c r="B54" s="1">
        <v>0</v>
      </c>
      <c r="C54" s="1">
        <v>51</v>
      </c>
      <c r="D54" t="s">
        <v>228</v>
      </c>
      <c r="E54" s="2" t="s">
        <v>322</v>
      </c>
      <c r="F54" s="2">
        <v>99</v>
      </c>
      <c r="G54" t="s">
        <v>228</v>
      </c>
      <c r="H54" s="2" t="str">
        <f>'ERM EMPRESA'!D54</f>
        <v>N/D</v>
      </c>
      <c r="S54">
        <v>0</v>
      </c>
      <c r="V54" s="13" t="str">
        <f>CONCATENATE("EXECUTE ",$U$1,"0,0,0, ",C54,", '",D54,"', '",E54,"', ",F54, ",'", G54,"', '",H54,"', '",I54,"', '",J54,"', '",K54,"', '",L54,"', '",M54,"', '",N54,"', '",O54,"', '",P54,"', '",Q54,"', '",R54,"', ",S54)</f>
        <v>EXECUTE [dbo].[PG_CI_RAZON_SOCIAL] 0,0,0, 51, 'AMERICAN AIR LODGE LP', 'AMEAL', 99,'AMERICAN AIR LODGE LP', 'N/D', '', '', '', '', '', '', '', '', '', '', 0</v>
      </c>
    </row>
    <row r="55" spans="1:22" x14ac:dyDescent="0.3">
      <c r="A55" s="1">
        <v>0</v>
      </c>
      <c r="B55" s="1">
        <v>0</v>
      </c>
      <c r="C55" s="1">
        <v>52</v>
      </c>
      <c r="D55" t="s">
        <v>384</v>
      </c>
      <c r="E55" s="2" t="s">
        <v>323</v>
      </c>
      <c r="F55" s="2">
        <v>99</v>
      </c>
      <c r="G55" t="s">
        <v>230</v>
      </c>
      <c r="H55" s="2" t="str">
        <f>'ERM EMPRESA'!D55</f>
        <v>N/D</v>
      </c>
      <c r="S55">
        <v>0</v>
      </c>
      <c r="V55" s="13" t="str">
        <f>CONCATENATE("EXECUTE ",$U$1,"0,0,0, ",C55,", '",D55,"', '",E55,"', ",F55, ",'", G55,"', '",H55,"', '",I55,"', '",J55,"', '",K55,"', '",L55,"', '",M55,"', '",N55,"', '",O55,"', '",P55,"', '",Q55,"', '",R55,"', ",S55)</f>
        <v>EXECUTE [dbo].[PG_CI_RAZON_SOCIAL] 0,0,0, 52, 'CORPRACION E INVERSIONES TOMZA DE MEXICO', 'CITMX', 99,'CORPRACION E INVERSIONES TOMZA DE MEXICO SA DE CV', 'N/D', '', '', '', '', '', '', '', '', '', '', 0</v>
      </c>
    </row>
    <row r="56" spans="1:22" x14ac:dyDescent="0.3">
      <c r="A56" s="1">
        <v>0</v>
      </c>
      <c r="B56" s="1">
        <v>0</v>
      </c>
      <c r="C56" s="1">
        <v>54</v>
      </c>
      <c r="D56" t="s">
        <v>373</v>
      </c>
      <c r="E56" s="2" t="s">
        <v>324</v>
      </c>
      <c r="F56" s="2">
        <v>1</v>
      </c>
      <c r="G56" t="s">
        <v>231</v>
      </c>
      <c r="H56" s="2" t="str">
        <f>'ERM EMPRESA'!D56</f>
        <v>GTV020909KA9</v>
      </c>
      <c r="S56">
        <v>0</v>
      </c>
      <c r="V56" s="13" t="str">
        <f>CONCATENATE("EXECUTE ",$U$1,"0,0,0, ",C56,", '",D56,"', '",E56,"', ",F56, ",'", G56,"', '",H56,"', '",I56,"', '",J56,"', '",K56,"', '",L56,"', '",M56,"', '",N56,"', '",O56,"', '",P56,"', '",Q56,"', '",R56,"', ",S56)</f>
        <v>EXECUTE [dbo].[PG_CI_RAZON_SOCIAL] 0,0,0, 54, 'TOMZA DE VERACRUZ (GAS)', 'GTVCZ', 1,'GAS TOMZA DE VERACRUZ,S.A. DE C.V.', 'GTV020909KA9', '', '', '', '', '', '', '', '', '', '', 0</v>
      </c>
    </row>
    <row r="57" spans="1:22" x14ac:dyDescent="0.3">
      <c r="A57" s="1">
        <v>0</v>
      </c>
      <c r="B57" s="1">
        <v>0</v>
      </c>
      <c r="C57" s="1">
        <v>57</v>
      </c>
      <c r="D57" t="s">
        <v>393</v>
      </c>
      <c r="E57" s="2" t="s">
        <v>325</v>
      </c>
      <c r="F57" s="2">
        <v>8</v>
      </c>
      <c r="G57" t="s">
        <v>234</v>
      </c>
      <c r="H57" s="2" t="str">
        <f>'ERM EMPRESA'!D57</f>
        <v>TMG050802I47</v>
      </c>
      <c r="S57">
        <v>0</v>
      </c>
      <c r="V57" s="13" t="str">
        <f>CONCATENATE("EXECUTE ",$U$1,"0,0,0, ",C57,", '",D57,"', '",E57,"', ",F57, ",'", G57,"', '",H57,"', '",I57,"', '",J57,"', '",K57,"', '",L57,"', '",M57,"', '",N57,"', '",O57,"', '",P57,"', '",Q57,"', '",R57,"', ",S57)</f>
        <v>EXECUTE [dbo].[PG_CI_RAZON_SOCIAL] 0,0,0, 57, 'TERMINAL MARITIMA GAS TOMZA', 'TMGTZ', 8,'TERMINAL MARITIMA GAS TOMZA, S.A. DE C.V.', 'TMG050802I47', '', '', '', '', '', '', '', '', '', '', 0</v>
      </c>
    </row>
    <row r="58" spans="1:22" x14ac:dyDescent="0.3">
      <c r="A58" s="1">
        <v>0</v>
      </c>
      <c r="B58" s="1">
        <v>0</v>
      </c>
      <c r="C58" s="1">
        <v>58</v>
      </c>
      <c r="D58" t="s">
        <v>353</v>
      </c>
      <c r="E58" s="2" t="s">
        <v>326</v>
      </c>
      <c r="F58" s="2">
        <v>4</v>
      </c>
      <c r="G58" t="s">
        <v>237</v>
      </c>
      <c r="H58" s="2" t="str">
        <f>'ERM EMPRESA'!D58</f>
        <v>N/D</v>
      </c>
      <c r="S58">
        <v>0</v>
      </c>
      <c r="V58" s="13" t="str">
        <f>CONCATENATE("EXECUTE ",$U$1,"0,0,0, ",C58,", '",D58,"', '",E58,"', ",F58, ",'", G58,"', '",H58,"', '",I58,"', '",J58,"', '",K58,"', '",L58,"', '",M58,"', '",N58,"', '",O58,"', '",P58,"', '",Q58,"', '",R58,"', ",S58)</f>
        <v>EXECUTE [dbo].[PG_CI_RAZON_SOCIAL] 0,0,0, 58, 'INMOBILIARES TERMINALES DE GAS 58', 'ITERG', 4,'INMOBILIARES TERMINALES DE GAS, S.A. DE C.V.', 'N/D', '', '', '', '', '', '', '', '', '', '', 0</v>
      </c>
    </row>
    <row r="59" spans="1:22" x14ac:dyDescent="0.3">
      <c r="A59" s="1">
        <v>0</v>
      </c>
      <c r="B59" s="1">
        <v>0</v>
      </c>
      <c r="C59" s="1">
        <v>59</v>
      </c>
      <c r="D59" t="s">
        <v>354</v>
      </c>
      <c r="E59" s="2" t="s">
        <v>326</v>
      </c>
      <c r="F59" s="2">
        <v>4</v>
      </c>
      <c r="G59" t="s">
        <v>239</v>
      </c>
      <c r="H59" s="2" t="str">
        <f>'ERM EMPRESA'!D59</f>
        <v>N/D</v>
      </c>
      <c r="S59">
        <v>0</v>
      </c>
      <c r="V59" s="13" t="str">
        <f>CONCATENATE("EXECUTE ",$U$1,"0,0,0, ",C59,", '",D59,"', '",E59,"', ",F59, ",'", G59,"', '",H59,"', '",I59,"', '",J59,"', '",K59,"', '",L59,"', '",M59,"', '",N59,"', '",O59,"', '",P59,"', '",Q59,"', '",R59,"', ",S59)</f>
        <v>EXECUTE [dbo].[PG_CI_RAZON_SOCIAL] 0,0,0, 59, 'INMOBILIARIA TERMINALES DE GAS 59', 'ITERG', 4,'INMOBILIARIA TERMINALES DE GAS, S.A. DE C.V.', 'N/D', '', '', '', '', '', '', '', '', '', '', 0</v>
      </c>
    </row>
    <row r="60" spans="1:22" x14ac:dyDescent="0.3">
      <c r="A60" s="1">
        <v>0</v>
      </c>
      <c r="B60" s="1">
        <v>0</v>
      </c>
      <c r="C60" s="1">
        <v>60</v>
      </c>
      <c r="D60" t="s">
        <v>240</v>
      </c>
      <c r="E60" s="2" t="s">
        <v>327</v>
      </c>
      <c r="F60" s="2">
        <v>5</v>
      </c>
      <c r="G60" t="s">
        <v>240</v>
      </c>
      <c r="H60" s="2" t="str">
        <f>'ERM EMPRESA'!D60</f>
        <v>N/D</v>
      </c>
      <c r="S60">
        <v>0</v>
      </c>
      <c r="V60" s="13" t="str">
        <f>CONCATENATE("EXECUTE ",$U$1,"0,0,0, ",C60,", '",D60,"', '",E60,"', ",F60, ",'", G60,"', '",H60,"', '",I60,"', '",J60,"', '",K60,"', '",L60,"', '",M60,"', '",N60,"', '",O60,"', '",P60,"', '",Q60,"', '",R60,"', ",S60)</f>
        <v>EXECUTE [dbo].[PG_CI_RAZON_SOCIAL] 0,0,0, 60, 'SRA. MELINA SAMANTHA SANCHEZ SANTILLANA', 'MESSS', 5,'SRA. MELINA SAMANTHA SANCHEZ SANTILLANA', 'N/D', '', '', '', '', '', '', '', '', '', '', 0</v>
      </c>
    </row>
    <row r="61" spans="1:22" x14ac:dyDescent="0.3">
      <c r="A61" s="1">
        <v>0</v>
      </c>
      <c r="B61" s="1">
        <v>0</v>
      </c>
      <c r="C61" s="1">
        <v>61</v>
      </c>
      <c r="D61" t="s">
        <v>385</v>
      </c>
      <c r="E61" s="2" t="s">
        <v>328</v>
      </c>
      <c r="F61" s="2">
        <v>99</v>
      </c>
      <c r="G61" t="s">
        <v>241</v>
      </c>
      <c r="H61" s="2" t="str">
        <f>'ERM EMPRESA'!D61</f>
        <v>N/D</v>
      </c>
      <c r="S61">
        <v>0</v>
      </c>
      <c r="V61" s="13" t="str">
        <f>CONCATENATE("EXECUTE ",$U$1,"0,0,0, ",C61,", '",D61,"', '",E61,"', ",F61, ",'", G61,"', '",H61,"', '",I61,"', '",J61,"', '",K61,"', '",L61,"', '",M61,"', '",N61,"', '",O61,"', '",P61,"', '",Q61,"', '",R61,"', ",S61)</f>
        <v>EXECUTE [dbo].[PG_CI_RAZON_SOCIAL] 0,0,0, 61, 'FUNDACION ALBERTO ZARAGOZA 61', 'FALZA', 99,'FUNDACION ALBERTO ZARAGOZA A.C.', 'N/D', '', '', '', '', '', '', '', '', '', '', 0</v>
      </c>
    </row>
    <row r="62" spans="1:22" x14ac:dyDescent="0.3">
      <c r="A62" s="1">
        <v>0</v>
      </c>
      <c r="B62" s="1">
        <v>0</v>
      </c>
      <c r="C62" s="1">
        <v>62</v>
      </c>
      <c r="D62" t="s">
        <v>355</v>
      </c>
      <c r="E62" s="2" t="s">
        <v>329</v>
      </c>
      <c r="F62" s="2">
        <v>4</v>
      </c>
      <c r="G62" t="s">
        <v>242</v>
      </c>
      <c r="H62" s="2" t="str">
        <f>'ERM EMPRESA'!D62</f>
        <v>IER090708TW8</v>
      </c>
      <c r="S62">
        <v>0</v>
      </c>
      <c r="V62" s="13" t="str">
        <f>CONCATENATE("EXECUTE ",$U$1,"0,0,0, ",C62,", '",D62,"', '",E62,"', ",F62, ",'", G62,"', '",H62,"', '",I62,"', '",J62,"', '",K62,"', '",L62,"', '",M62,"', '",N62,"', '",O62,"', '",P62,"', '",Q62,"', '",R62,"', ",S62)</f>
        <v>EXECUTE [dbo].[PG_CI_RAZON_SOCIAL] 0,0,0, 62, 'INMOBILIARIA ERNESIL', 'IERNE', 4,'INMOBILIARIA ERNESIL SA DE CV', 'IER090708TW8', '', '', '', '', '', '', '', '', '', '', 0</v>
      </c>
    </row>
    <row r="63" spans="1:22" x14ac:dyDescent="0.3">
      <c r="A63" s="1">
        <v>0</v>
      </c>
      <c r="B63" s="1">
        <v>0</v>
      </c>
      <c r="C63" s="1">
        <v>63</v>
      </c>
      <c r="D63" t="s">
        <v>356</v>
      </c>
      <c r="E63" s="2" t="s">
        <v>330</v>
      </c>
      <c r="F63" s="2">
        <v>4</v>
      </c>
      <c r="G63" t="s">
        <v>244</v>
      </c>
      <c r="H63" s="2" t="str">
        <f>'ERM EMPRESA'!D63</f>
        <v>IUN090708C29</v>
      </c>
      <c r="S63">
        <v>0</v>
      </c>
      <c r="V63" s="13" t="str">
        <f>CONCATENATE("EXECUTE ",$U$1,"0,0,0, ",C63,", '",D63,"', '",E63,"', ",F63, ",'", G63,"', '",H63,"', '",I63,"', '",J63,"', '",K63,"', '",L63,"', '",M63,"', '",N63,"', '",O63,"', '",P63,"', '",Q63,"', '",R63,"', ",S63)</f>
        <v>EXECUTE [dbo].[PG_CI_RAZON_SOCIAL] 0,0,0, 63, 'INMOBILIARIA UNIGAS', 'IUNIG', 4,'INMOBILIARIA UNIGAS SA DE CV', 'IUN090708C29', '', '', '', '', '', '', '', '', '', '', 0</v>
      </c>
    </row>
    <row r="64" spans="1:22" x14ac:dyDescent="0.3">
      <c r="A64" s="1">
        <v>0</v>
      </c>
      <c r="B64" s="1">
        <v>0</v>
      </c>
      <c r="C64" s="1">
        <v>64</v>
      </c>
      <c r="D64" t="s">
        <v>246</v>
      </c>
      <c r="E64" s="2" t="s">
        <v>331</v>
      </c>
      <c r="F64" s="2">
        <v>5</v>
      </c>
      <c r="G64" t="s">
        <v>246</v>
      </c>
      <c r="H64" s="2" t="str">
        <f>'ERM EMPRESA'!D64</f>
        <v>N/D</v>
      </c>
      <c r="S64">
        <v>0</v>
      </c>
      <c r="V64" s="13" t="str">
        <f>CONCATENATE("EXECUTE ",$U$1,"0,0,0, ",C64,", '",D64,"', '",E64,"', ",F64, ",'", G64,"', '",H64,"', '",I64,"', '",J64,"', '",K64,"', '",L64,"', '",M64,"', '",N64,"', '",O64,"', '",P64,"', '",Q64,"', '",R64,"', ",S64)</f>
        <v>EXECUTE [dbo].[PG_CI_RAZON_SOCIAL] 0,0,0, 64, 'SILVIA ITO VARELA', 'SITVA', 5,'SILVIA ITO VARELA', 'N/D', '', '', '', '', '', '', '', '', '', '', 0</v>
      </c>
    </row>
    <row r="65" spans="1:22" x14ac:dyDescent="0.3">
      <c r="A65" s="1">
        <v>0</v>
      </c>
      <c r="B65" s="1">
        <v>0</v>
      </c>
      <c r="C65" s="1">
        <v>67</v>
      </c>
      <c r="D65" t="s">
        <v>404</v>
      </c>
      <c r="E65" s="2" t="s">
        <v>332</v>
      </c>
      <c r="F65" s="2">
        <v>2</v>
      </c>
      <c r="G65" t="s">
        <v>248</v>
      </c>
      <c r="H65" s="2">
        <f>'ERM EMPRESA'!D65</f>
        <v>0</v>
      </c>
      <c r="S65">
        <v>0</v>
      </c>
      <c r="V65" s="13" t="str">
        <f>CONCATENATE("EXECUTE ",$U$1,"0,0,0, ",C65,", '",D65,"', '",E65,"', ",F65, ",'", G65,"', '",H65,"', '",I65,"', '",J65,"', '",K65,"', '",L65,"', '",M65,"', '",N65,"', '",O65,"', '",P65,"', '",Q65,"', '",R65,"', ",S65)</f>
        <v>EXECUTE [dbo].[PG_CI_RAZON_SOCIAL] 0,0,0, 67, 'TRANSPORTADORA SILZA USA', 'TSILZ', 2,'TRANSPORTADORA SILZA USA INC', '0', '', '', '', '', '', '', '', '', '', '', 0</v>
      </c>
    </row>
    <row r="66" spans="1:22" x14ac:dyDescent="0.3">
      <c r="A66" s="1">
        <v>0</v>
      </c>
      <c r="B66" s="1">
        <v>0</v>
      </c>
      <c r="C66" s="1">
        <v>69</v>
      </c>
      <c r="D66" t="s">
        <v>386</v>
      </c>
      <c r="E66" s="2" t="s">
        <v>328</v>
      </c>
      <c r="F66" s="2">
        <v>99</v>
      </c>
      <c r="G66" t="s">
        <v>249</v>
      </c>
      <c r="H66" s="2">
        <f>'ERM EMPRESA'!D66</f>
        <v>0</v>
      </c>
      <c r="S66">
        <v>0</v>
      </c>
      <c r="V66" s="13" t="str">
        <f>CONCATENATE("EXECUTE ",$U$1,"0,0,0, ",C66,", '",D66,"', '",E66,"', ",F66, ",'", G66,"', '",H66,"', '",I66,"', '",J66,"', '",K66,"', '",L66,"', '",M66,"', '",N66,"', '",O66,"', '",P66,"', '",Q66,"', '",R66,"', ",S66)</f>
        <v>EXECUTE [dbo].[PG_CI_RAZON_SOCIAL] 0,0,0, 69, 'FUNDACION ALBERTO ZARAGOZA 69', 'FALZA', 99,'FUNDACION ALBERTO ZARAGOZA AC', '0', '', '', '', '', '', '', '', '', '', '', 0</v>
      </c>
    </row>
    <row r="67" spans="1:22" x14ac:dyDescent="0.3">
      <c r="A67" s="1">
        <v>0</v>
      </c>
      <c r="B67" s="1">
        <v>0</v>
      </c>
      <c r="C67" s="1">
        <v>70</v>
      </c>
      <c r="D67" t="s">
        <v>357</v>
      </c>
      <c r="E67" s="2" t="s">
        <v>333</v>
      </c>
      <c r="F67" s="2">
        <v>4</v>
      </c>
      <c r="G67" t="s">
        <v>250</v>
      </c>
      <c r="H67" s="2" t="str">
        <f>'ERM EMPRESA'!D67</f>
        <v>NA</v>
      </c>
      <c r="S67">
        <v>0</v>
      </c>
      <c r="V67" s="13" t="str">
        <f>CONCATENATE("EXECUTE ",$U$1,"0,0,0, ",C67,", '",D67,"', '",E67,"', ",F67, ",'", G67,"', '",H67,"', '",I67,"', '",J67,"', '",K67,"', '",L67,"', '",M67,"', '",N67,"', '",O67,"', '",P67,"', '",Q67,"', '",R67,"', ",S67)</f>
        <v>EXECUTE [dbo].[PG_CI_RAZON_SOCIAL] 0,0,0, 70, 'INMOBILIAIRA EZI 70', 'IEZIS', 4,'INMOBILIAIRA EZI SA DE CV', 'NA', '', '', '', '', '', '', '', '', '', '', 0</v>
      </c>
    </row>
    <row r="68" spans="1:22" x14ac:dyDescent="0.3">
      <c r="A68" s="1">
        <v>0</v>
      </c>
      <c r="B68" s="1">
        <v>0</v>
      </c>
      <c r="C68" s="1">
        <v>71</v>
      </c>
      <c r="D68" t="s">
        <v>358</v>
      </c>
      <c r="E68" s="2" t="s">
        <v>333</v>
      </c>
      <c r="F68" s="2">
        <v>4</v>
      </c>
      <c r="G68" t="s">
        <v>252</v>
      </c>
      <c r="H68" s="2" t="str">
        <f>'ERM EMPRESA'!D68</f>
        <v>ND</v>
      </c>
      <c r="S68">
        <v>0</v>
      </c>
      <c r="V68" s="13" t="str">
        <f>CONCATENATE("EXECUTE ",$U$1,"0,0,0, ",C68,", '",D68,"', '",E68,"', ",F68, ",'", G68,"', '",H68,"', '",I68,"', '",J68,"', '",K68,"', '",L68,"', '",M68,"', '",N68,"', '",O68,"', '",P68,"', '",Q68,"', '",R68,"', ",S68)</f>
        <v>EXECUTE [dbo].[PG_CI_RAZON_SOCIAL] 0,0,0, 71, 'INMOBILIARIA EZI 71', 'IEZIS', 4,'INMOBILIARIA EZI S.A. DE C.V.', 'ND', '', '', '', '', '', '', '', '', '', '', 0</v>
      </c>
    </row>
    <row r="69" spans="1:22" x14ac:dyDescent="0.3">
      <c r="A69" s="1">
        <v>0</v>
      </c>
      <c r="B69" s="1">
        <v>0</v>
      </c>
      <c r="C69" s="1">
        <v>75</v>
      </c>
      <c r="D69" t="s">
        <v>390</v>
      </c>
      <c r="E69" s="2" t="s">
        <v>334</v>
      </c>
      <c r="F69" s="2">
        <v>6</v>
      </c>
      <c r="G69" t="s">
        <v>254</v>
      </c>
      <c r="H69" s="2">
        <f>'ERM EMPRESA'!D69</f>
        <v>0</v>
      </c>
      <c r="S69">
        <v>0</v>
      </c>
      <c r="V69" s="13" t="str">
        <f>CONCATENATE("EXECUTE ",$U$1,"0,0,0, ",C69,", '",D69,"', '",E69,"', ",F69, ",'", G69,"', '",H69,"', '",I69,"', '",J69,"', '",K69,"', '",L69,"', '",M69,"', '",N69,"', '",O69,"', '",P69,"', '",Q69,"', '",R69,"', ",S69)</f>
        <v>EXECUTE [dbo].[PG_CI_RAZON_SOCIAL] 0,0,0, 75, 'TOMZAJET', 'TMJET', 6,'TOMZAJET S.A. DE C.V.', '0', '', '', '', '', '', '', '', '', '', '', 0</v>
      </c>
    </row>
    <row r="70" spans="1:22" x14ac:dyDescent="0.3">
      <c r="A70" s="1">
        <v>0</v>
      </c>
      <c r="B70" s="1">
        <v>0</v>
      </c>
      <c r="C70" s="1">
        <v>76</v>
      </c>
      <c r="D70" t="s">
        <v>405</v>
      </c>
      <c r="E70" s="2" t="s">
        <v>335</v>
      </c>
      <c r="F70" s="2">
        <v>2</v>
      </c>
      <c r="G70" t="s">
        <v>255</v>
      </c>
      <c r="H70" s="2" t="str">
        <f>'ERM EMPRESA'!D70</f>
        <v>TTO1406045Z5</v>
      </c>
      <c r="S70">
        <v>0</v>
      </c>
      <c r="V70" s="13" t="str">
        <f>CONCATENATE("EXECUTE ",$U$1,"0,0,0, ",C70,", '",D70,"', '",E70,"', ",F70, ",'", G70,"', '",H70,"', '",I70,"', '",J70,"', '",K70,"', '",L70,"', '",M70,"', '",N70,"', '",O70,"', '",P70,"', '",Q70,"', '",R70,"', ",S70)</f>
        <v>EXECUTE [dbo].[PG_CI_RAZON_SOCIAL] 0,0,0, 76, 'TRANSPORTADORA TOMZA', 'TRTOM', 2,'TRANSPORTADORA TOMZA SA DE CV ', 'TTO1406045Z5', '', '', '', '', '', '', '', '', '', '', 0</v>
      </c>
    </row>
    <row r="71" spans="1:22" x14ac:dyDescent="0.3">
      <c r="A71" s="1">
        <v>0</v>
      </c>
      <c r="B71" s="1">
        <v>0</v>
      </c>
      <c r="C71" s="1">
        <v>77</v>
      </c>
      <c r="D71" t="s">
        <v>387</v>
      </c>
      <c r="E71" s="2" t="s">
        <v>336</v>
      </c>
      <c r="F71" s="2">
        <v>99</v>
      </c>
      <c r="G71" t="s">
        <v>258</v>
      </c>
      <c r="H71" s="2">
        <f>'ERM EMPRESA'!D71</f>
        <v>0</v>
      </c>
      <c r="S71">
        <v>0</v>
      </c>
      <c r="V71" s="13" t="str">
        <f>CONCATENATE("EXECUTE ",$U$1,"0,0,0, ",C71,", '",D71,"', '",E71,"', ",F71, ",'", G71,"', '",H71,"', '",I71,"', '",J71,"', '",K71,"', '",L71,"', '",M71,"', '",N71,"', '",O71,"', '",P71,"', '",Q71,"', '",R71,"', ",S71)</f>
        <v>EXECUTE [dbo].[PG_CI_RAZON_SOCIAL] 0,0,0, 77, 'GINZA HOLDING', 'GINZA', 99,'GINZA HOLDING INC', '0', '', '', '', '', '', '', '', '', '', '', 0</v>
      </c>
    </row>
    <row r="72" spans="1:22" x14ac:dyDescent="0.3">
      <c r="A72" s="1">
        <v>0</v>
      </c>
      <c r="B72" s="1">
        <v>0</v>
      </c>
      <c r="C72" s="1">
        <v>78</v>
      </c>
      <c r="D72" t="s">
        <v>359</v>
      </c>
      <c r="E72" s="2" t="s">
        <v>337</v>
      </c>
      <c r="F72" s="2">
        <v>4</v>
      </c>
      <c r="G72" t="s">
        <v>260</v>
      </c>
      <c r="H72" s="2" t="str">
        <f>'ERM EMPRESA'!D72</f>
        <v>IAN0603237V0</v>
      </c>
      <c r="S72">
        <v>0</v>
      </c>
      <c r="V72" s="13" t="str">
        <f>CONCATENATE("EXECUTE ",$U$1,"0,0,0, ",C72,", '",D72,"', '",E72,"', ",F72, ",'", G72,"', '",H72,"', '",I72,"', '",J72,"', '",K72,"', '",L72,"', '",M72,"', '",N72,"', '",O72,"', '",P72,"', '",Q72,"', '",R72,"', ",S72)</f>
        <v>EXECUTE [dbo].[PG_CI_RAZON_SOCIAL] 0,0,0, 78, 'INMOBILIARIA AVANCE DEL NORTE', 'INAVN', 4,'INMOBILIARIA AVANCE DEL NORTE SA DE CV ', 'IAN0603237V0', '', '', '', '', '', '', '', '', '', '', 0</v>
      </c>
    </row>
    <row r="73" spans="1:22" x14ac:dyDescent="0.3">
      <c r="A73" s="1">
        <v>0</v>
      </c>
      <c r="B73" s="1">
        <v>0</v>
      </c>
      <c r="C73" s="1">
        <v>79</v>
      </c>
      <c r="D73" t="s">
        <v>360</v>
      </c>
      <c r="E73" s="2" t="s">
        <v>338</v>
      </c>
      <c r="F73" s="2">
        <v>4</v>
      </c>
      <c r="G73" t="s">
        <v>263</v>
      </c>
      <c r="H73" s="2" t="str">
        <f>'ERM EMPRESA'!D73</f>
        <v>IIF710726E33</v>
      </c>
      <c r="S73">
        <v>0</v>
      </c>
      <c r="V73" s="13" t="str">
        <f>CONCATENATE("EXECUTE ",$U$1,"0,0,0, ",C73,", '",D73,"', '",E73,"', ",F73, ",'", G73,"', '",H73,"', '",I73,"', '",J73,"', '",K73,"', '",L73,"', '",M73,"', '",N73,"', '",O73,"', '",P73,"', '",Q73,"', '",R73,"', ",S73)</f>
        <v>EXECUTE [dbo].[PG_CI_RAZON_SOCIAL] 0,0,0, 79, 'INMOBILIARIA INDUSTRIAL Y FABRIL', 'INIFA', 4,'INMOBILIARIA INDUSTRIAL Y FABRIL SA DE CV', 'IIF710726E33', '', '', '', '', '', '', '', '', '', '', 0</v>
      </c>
    </row>
    <row r="74" spans="1:22" x14ac:dyDescent="0.3">
      <c r="A74" s="1">
        <v>0</v>
      </c>
      <c r="B74" s="1">
        <v>0</v>
      </c>
      <c r="C74" s="1">
        <v>80</v>
      </c>
      <c r="D74" t="s">
        <v>399</v>
      </c>
      <c r="E74" s="2" t="s">
        <v>339</v>
      </c>
      <c r="F74" s="2">
        <v>3</v>
      </c>
      <c r="G74" t="s">
        <v>266</v>
      </c>
      <c r="H74" s="2" t="str">
        <f>'ERM EMPRESA'!D74</f>
        <v>PGG1602012Q3</v>
      </c>
      <c r="S74">
        <v>0</v>
      </c>
      <c r="V74" s="13" t="str">
        <f>CONCATENATE("EXECUTE ",$U$1,"0,0,0, ",C74,", '",D74,"', '",E74,"', ",F74, ",'", G74,"', '",H74,"', '",I74,"', '",J74,"', '",K74,"', '",L74,"', '",M74,"', '",N74,"', '",O74,"', '",P74,"', '",Q74,"', '",R74,"', ",S74)</f>
        <v>EXECUTE [dbo].[PG_CI_RAZON_SOCIAL] 0,0,0, 80, 'PETROLEOS Y GAS DEL GOLFO', 'PGAGO', 3,'PETROLEOS Y GAS DEL GOLFO SA DE CV ', 'PGG1602012Q3', '', '', '', '', '', '', '', '', '', '', 0</v>
      </c>
    </row>
    <row r="75" spans="1:22" x14ac:dyDescent="0.3">
      <c r="A75" s="1">
        <v>0</v>
      </c>
      <c r="B75" s="1">
        <v>0</v>
      </c>
      <c r="C75" s="1">
        <v>81</v>
      </c>
      <c r="D75" t="s">
        <v>400</v>
      </c>
      <c r="E75" s="2" t="s">
        <v>340</v>
      </c>
      <c r="F75" s="2">
        <v>3</v>
      </c>
      <c r="G75" t="s">
        <v>269</v>
      </c>
      <c r="H75" s="2" t="str">
        <f>'ERM EMPRESA'!D75</f>
        <v>PGN1603079Q3</v>
      </c>
      <c r="S75">
        <v>0</v>
      </c>
      <c r="V75" s="13" t="str">
        <f>CONCATENATE("EXECUTE ",$U$1,"0,0,0, ",C75,", '",D75,"', '",E75,"', ",F75, ",'", G75,"', '",H75,"', '",I75,"', '",J75,"', '",K75,"', '",L75,"', '",M75,"', '",N75,"', '",O75,"', '",P75,"', '",Q75,"', '",R75,"', ",S75)</f>
        <v>EXECUTE [dbo].[PG_CI_RAZON_SOCIAL] 0,0,0, 81, 'PETROLEOS Y GAS DEL NORTE', 'PGANO', 3,'PETROLEOS Y GAS DEL NORTE SA DE CV ', 'PGN1603079Q3', '', '', '', '', '', '', '', '', '', '', 0</v>
      </c>
    </row>
    <row r="76" spans="1:22" x14ac:dyDescent="0.3">
      <c r="A76" s="1">
        <v>0</v>
      </c>
      <c r="B76" s="1">
        <v>0</v>
      </c>
      <c r="C76" s="1">
        <v>82</v>
      </c>
      <c r="D76" t="s">
        <v>271</v>
      </c>
      <c r="E76" s="2" t="s">
        <v>341</v>
      </c>
      <c r="F76" s="2">
        <v>5</v>
      </c>
      <c r="G76" t="s">
        <v>271</v>
      </c>
      <c r="H76" s="2" t="str">
        <f>'ERM EMPRESA'!D76</f>
        <v>ZAIT920213EU4</v>
      </c>
      <c r="S76">
        <v>0</v>
      </c>
      <c r="V76" s="13" t="str">
        <f>CONCATENATE("EXECUTE ",$U$1,"0,0,0, ",C76,", '",D76,"', '",E76,"', ",F76, ",'", G76,"', '",H76,"', '",I76,"', '",J76,"', '",K76,"', '",L76,"', '",M76,"', '",N76,"', '",O76,"', '",P76,"', '",Q76,"', '",R76,"', ",S76)</f>
        <v>EXECUTE [dbo].[PG_CI_RAZON_SOCIAL] 0,0,0, 82, 'TOMAS RAUL ZARAGOZA IBARRA', 'TRAZA', 5,'TOMAS RAUL ZARAGOZA IBARRA', 'ZAIT920213EU4', '', '', '', '', '', '', '', '', '', '', 0</v>
      </c>
    </row>
    <row r="77" spans="1:22" x14ac:dyDescent="0.3">
      <c r="A77" s="1">
        <v>0</v>
      </c>
      <c r="B77" s="1">
        <v>0</v>
      </c>
      <c r="C77" s="1">
        <v>83</v>
      </c>
      <c r="D77" t="s">
        <v>271</v>
      </c>
      <c r="E77" s="2" t="s">
        <v>341</v>
      </c>
      <c r="F77" s="2">
        <v>5</v>
      </c>
      <c r="G77" t="s">
        <v>271</v>
      </c>
      <c r="H77" s="2" t="str">
        <f>'ERM EMPRESA'!D77</f>
        <v>ZAIT920213EU4</v>
      </c>
      <c r="S77">
        <v>0</v>
      </c>
      <c r="V77" s="13" t="str">
        <f>CONCATENATE("EXECUTE ",$U$1,"0,0,0, ",C77,", '",D77,"', '",E77,"', ",F77, ",'", G77,"', '",H77,"', '",I77,"', '",J77,"', '",K77,"', '",L77,"', '",M77,"', '",N77,"', '",O77,"', '",P77,"', '",Q77,"', '",R77,"', ",S77)</f>
        <v>EXECUTE [dbo].[PG_CI_RAZON_SOCIAL] 0,0,0, 83, 'TOMAS RAUL ZARAGOZA IBARRA', 'TRAZA', 5,'TOMAS RAUL ZARAGOZA IBARRA', 'ZAIT920213EU4', '', '', '', '', '', '', '', '', '', '', 0</v>
      </c>
    </row>
    <row r="78" spans="1:22" x14ac:dyDescent="0.3">
      <c r="A78" s="1">
        <v>0</v>
      </c>
      <c r="B78" s="1">
        <v>0</v>
      </c>
      <c r="C78" s="1">
        <v>85</v>
      </c>
      <c r="D78" t="s">
        <v>401</v>
      </c>
      <c r="E78" s="2" t="s">
        <v>342</v>
      </c>
      <c r="F78" s="2">
        <v>3</v>
      </c>
      <c r="G78" t="s">
        <v>276</v>
      </c>
      <c r="H78" s="2">
        <f>'ERM EMPRESA'!D78</f>
        <v>0</v>
      </c>
      <c r="S78">
        <v>0</v>
      </c>
      <c r="V78" s="13" t="str">
        <f>CONCATENATE("EXECUTE ",$U$1,"0,0,0, ",C78,", '",D78,"', '",E78,"', ",F78, ",'", G78,"', '",H78,"', '",I78,"', '",J78,"', '",K78,"', '",L78,"', '",M78,"', '",N78,"', '",O78,"', '",P78,"', '",Q78,"', '",R78,"', ",S78)</f>
        <v>EXECUTE [dbo].[PG_CI_RAZON_SOCIAL] 0,0,0, 85, 'CIA IMP DE GAS Y PETROLEO DE TIJUANA', 'IGPTJ', 3,'CIA IMP DE GAS Y PETROLEO DE TIJUANA SA DE CV ', '0', '', '', '', '', '', '', '', '', '', '', 0</v>
      </c>
    </row>
    <row r="79" spans="1:22" x14ac:dyDescent="0.3">
      <c r="A79" s="1">
        <v>0</v>
      </c>
      <c r="B79" s="1">
        <v>0</v>
      </c>
      <c r="C79" s="1">
        <v>87</v>
      </c>
      <c r="D79" t="s">
        <v>392</v>
      </c>
      <c r="E79" s="2" t="s">
        <v>343</v>
      </c>
      <c r="F79" s="2">
        <v>8</v>
      </c>
      <c r="G79" t="s">
        <v>278</v>
      </c>
      <c r="H79" s="2" t="str">
        <f>'ERM EMPRESA'!D79</f>
        <v>ETA160829LZA</v>
      </c>
      <c r="S79">
        <v>0</v>
      </c>
      <c r="V79" s="13" t="str">
        <f>CONCATENATE("EXECUTE ",$U$1,"0,0,0, ",C79,", '",D79,"', '",E79,"', ",F79, ",'", G79,"', '",H79,"', '",I79,"', '",J79,"', '",K79,"', '",L79,"', '",M79,"', '",N79,"', '",O79,"', '",P79,"', '",Q79,"', '",R79,"', ",S79)</f>
        <v>EXECUTE [dbo].[PG_CI_RAZON_SOCIAL] 0,0,0, 87, 'TAO', 'CETAO', 8,'COMPAÑIA ESPECIALIZADA TAO SA DE CV ', 'ETA160829LZA', '', '', '', '', '', '', '', '', '', '', 0</v>
      </c>
    </row>
    <row r="80" spans="1:22" x14ac:dyDescent="0.3">
      <c r="A80" s="1">
        <v>0</v>
      </c>
      <c r="B80" s="1">
        <v>0</v>
      </c>
      <c r="C80" s="1">
        <v>88</v>
      </c>
      <c r="D80" t="s">
        <v>402</v>
      </c>
      <c r="E80" s="2" t="s">
        <v>344</v>
      </c>
      <c r="F80" s="2">
        <v>3</v>
      </c>
      <c r="G80" t="s">
        <v>281</v>
      </c>
      <c r="H80" s="2" t="str">
        <f>'ERM EMPRESA'!D80</f>
        <v>N/D</v>
      </c>
      <c r="S80">
        <v>0</v>
      </c>
      <c r="V80" s="13" t="str">
        <f>CONCATENATE("EXECUTE ",$U$1,"0,0,0, ",C80,", '",D80,"', '",E80,"', ",F80, ",'", G80,"', '",H80,"', '",I80,"', '",J80,"', '",K80,"', '",L80,"', '",M80,"', '",N80,"', '",O80,"', '",P80,"', '",Q80,"', '",R80,"', ",S80)</f>
        <v>EXECUTE [dbo].[PG_CI_RAZON_SOCIAL] 0,0,0, 88, 'COMPAÑIA IMPORTADORA DE GAS Y PETROLEO', 'CIGYP', 3,'COMPAÑIA IMPORTADORA DE GAS Y PETROLEO S.A DE C.V.', 'N/D', '', '', '', '', '', '', '', '', '', '', 0</v>
      </c>
    </row>
    <row r="81" spans="1:22" x14ac:dyDescent="0.3">
      <c r="A81" s="1">
        <v>0</v>
      </c>
      <c r="B81" s="1">
        <v>0</v>
      </c>
      <c r="C81" s="1">
        <v>90</v>
      </c>
      <c r="D81" t="s">
        <v>374</v>
      </c>
      <c r="E81" s="2" t="s">
        <v>345</v>
      </c>
      <c r="F81" s="2">
        <v>1</v>
      </c>
      <c r="G81" t="s">
        <v>284</v>
      </c>
      <c r="H81" s="2" t="str">
        <f>'ERM EMPRESA'!D81</f>
        <v>GTS170327JI0</v>
      </c>
      <c r="S81">
        <v>0</v>
      </c>
      <c r="V81" s="13" t="str">
        <f>CONCATENATE("EXECUTE ",$U$1,"0,0,0, ",C81,", '",D81,"', '",E81,"', ",F81, ",'", G81,"', '",H81,"', '",I81,"', '",J81,"', '",K81,"', '",L81,"', '",M81,"', '",N81,"', '",O81,"', '",P81,"', '",Q81,"', '",R81,"', ",S81)</f>
        <v>EXECUTE [dbo].[PG_CI_RAZON_SOCIAL] 0,0,0, 90, 'TOMZA DE SINALOA (GAS)', 'GTSIN', 1,'GAS TOMZA DE SINALOA, S.A DE C.V.', 'GTS170327JI0', '', '', '', '', '', '', '', '', '', '', 0</v>
      </c>
    </row>
    <row r="82" spans="1:22" x14ac:dyDescent="0.3">
      <c r="A82" s="1">
        <v>0</v>
      </c>
      <c r="B82" s="1">
        <v>0</v>
      </c>
      <c r="C82" s="1">
        <v>91</v>
      </c>
      <c r="D82" t="s">
        <v>366</v>
      </c>
      <c r="E82" s="2" t="s">
        <v>156</v>
      </c>
      <c r="F82" s="2">
        <v>1</v>
      </c>
      <c r="G82" t="s">
        <v>287</v>
      </c>
      <c r="H82" s="2">
        <f>'ERM EMPRESA'!D82</f>
        <v>0</v>
      </c>
      <c r="S82">
        <v>0</v>
      </c>
      <c r="V82" s="13" t="str">
        <f>CONCATENATE("EXECUTE ",$U$1,"0,0,0, ",C82,", '",D82,"', '",E82,"', ",F82, ",'", G82,"', '",H82,"', '",I82,"', '",J82,"', '",K82,"', '",L82,"', '",M82,"', '",N82,"', '",O82,"', '",P82,"', '",Q82,"', '",R82,"', ",S82)</f>
        <v>EXECUTE [dbo].[PG_CI_RAZON_SOCIAL] 0,0,0, 91, 'TITANIUM (GAS)', 'TITAN', 1,'GAS TITANIUM S.A DE C.V.', '0', '', '', '', '', '', '', '', '', '', '', 0</v>
      </c>
    </row>
    <row r="83" spans="1:22" x14ac:dyDescent="0.3">
      <c r="A83" s="1">
        <v>0</v>
      </c>
      <c r="B83" s="1">
        <v>0</v>
      </c>
      <c r="C83" s="1">
        <v>92</v>
      </c>
      <c r="D83" t="s">
        <v>391</v>
      </c>
      <c r="E83" s="2" t="s">
        <v>346</v>
      </c>
      <c r="F83" s="2">
        <v>6</v>
      </c>
      <c r="G83" t="s">
        <v>288</v>
      </c>
      <c r="H83" s="2" t="str">
        <f>'ERM EMPRESA'!D83</f>
        <v>HEL170330393</v>
      </c>
      <c r="S83">
        <v>0</v>
      </c>
      <c r="V83" s="13" t="str">
        <f>CONCATENATE("EXECUTE ",$U$1,"0,0,0, ",C83,", '",D83,"', '",E83,"', ",F83, ",'", G83,"', '",H83,"', '",I83,"', '",J83,"', '",K83,"', '",L83,"', '",M83,"', '",N83,"', '",O83,"', '",P83,"', '",Q83,"', '",R83,"', ",S83)</f>
        <v>EXECUTE [dbo].[PG_CI_RAZON_SOCIAL] 0,0,0, 92, 'HELITOMZA', 'HELIT', 6,'HELITOMZA SA DE CV', 'HEL170330393', '', '', '', '', '', '', '', '', '', '', 0</v>
      </c>
    </row>
  </sheetData>
  <autoFilter ref="A1:V83"/>
  <pageMargins left="0.7" right="0.7" top="0.75" bottom="0.75" header="0.3" footer="0.3"/>
  <pageSetup orientation="portrait" horizontalDpi="4294967295" verticalDpi="4294967295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83"/>
  <sheetViews>
    <sheetView topLeftCell="A58" workbookViewId="0">
      <selection activeCell="A3" sqref="A3:B83"/>
    </sheetView>
  </sheetViews>
  <sheetFormatPr baseColWidth="10" defaultRowHeight="14.4" x14ac:dyDescent="0.3"/>
  <cols>
    <col min="1" max="1" width="11.44140625" customWidth="1"/>
    <col min="2" max="2" width="75.44140625" bestFit="1" customWidth="1"/>
  </cols>
  <sheetData>
    <row r="1" spans="1:5" x14ac:dyDescent="0.3">
      <c r="A1" s="11" t="s">
        <v>291</v>
      </c>
      <c r="B1" s="12" t="s">
        <v>292</v>
      </c>
      <c r="C1" s="12" t="s">
        <v>293</v>
      </c>
      <c r="D1" s="12" t="s">
        <v>294</v>
      </c>
      <c r="E1" s="12" t="s">
        <v>295</v>
      </c>
    </row>
    <row r="2" spans="1:5" x14ac:dyDescent="0.3">
      <c r="A2" s="11"/>
      <c r="B2" s="12"/>
      <c r="C2" s="12"/>
      <c r="D2" s="12"/>
      <c r="E2" s="12"/>
    </row>
    <row r="3" spans="1:5" x14ac:dyDescent="0.3">
      <c r="A3" s="1">
        <v>86</v>
      </c>
      <c r="B3" t="s">
        <v>277</v>
      </c>
      <c r="E3">
        <v>1</v>
      </c>
    </row>
    <row r="4" spans="1:5" x14ac:dyDescent="0.3">
      <c r="A4" s="1">
        <v>84</v>
      </c>
      <c r="B4" t="s">
        <v>275</v>
      </c>
      <c r="E4">
        <v>1</v>
      </c>
    </row>
    <row r="5" spans="1:5" x14ac:dyDescent="0.3">
      <c r="A5" s="1">
        <v>6</v>
      </c>
      <c r="B5" t="s">
        <v>189</v>
      </c>
      <c r="C5" t="s">
        <v>108</v>
      </c>
      <c r="D5" t="s">
        <v>108</v>
      </c>
      <c r="E5">
        <v>1</v>
      </c>
    </row>
    <row r="6" spans="1:5" x14ac:dyDescent="0.3">
      <c r="A6" s="1">
        <v>10</v>
      </c>
      <c r="B6" t="s">
        <v>193</v>
      </c>
      <c r="C6" t="s">
        <v>108</v>
      </c>
      <c r="D6" t="s">
        <v>108</v>
      </c>
      <c r="E6">
        <v>1</v>
      </c>
    </row>
    <row r="7" spans="1:5" x14ac:dyDescent="0.3">
      <c r="A7" s="1">
        <v>11</v>
      </c>
      <c r="B7" t="s">
        <v>23</v>
      </c>
      <c r="C7" t="s">
        <v>108</v>
      </c>
      <c r="D7" t="s">
        <v>108</v>
      </c>
      <c r="E7">
        <v>1</v>
      </c>
    </row>
    <row r="8" spans="1:5" x14ac:dyDescent="0.3">
      <c r="A8" s="1">
        <v>12</v>
      </c>
      <c r="B8" t="s">
        <v>194</v>
      </c>
      <c r="C8" t="s">
        <v>108</v>
      </c>
      <c r="D8" t="s">
        <v>108</v>
      </c>
      <c r="E8">
        <v>1</v>
      </c>
    </row>
    <row r="9" spans="1:5" x14ac:dyDescent="0.3">
      <c r="A9" s="1">
        <v>13</v>
      </c>
      <c r="B9" t="s">
        <v>195</v>
      </c>
      <c r="C9" t="s">
        <v>108</v>
      </c>
      <c r="D9" t="s">
        <v>108</v>
      </c>
      <c r="E9">
        <v>1</v>
      </c>
    </row>
    <row r="10" spans="1:5" x14ac:dyDescent="0.3">
      <c r="A10" s="1">
        <v>53</v>
      </c>
      <c r="B10" t="s">
        <v>27</v>
      </c>
      <c r="C10" t="s">
        <v>108</v>
      </c>
      <c r="D10" t="s">
        <v>108</v>
      </c>
      <c r="E10">
        <v>1</v>
      </c>
    </row>
    <row r="11" spans="1:5" x14ac:dyDescent="0.3">
      <c r="A11" s="1">
        <v>16</v>
      </c>
      <c r="B11" t="s">
        <v>198</v>
      </c>
      <c r="C11" t="s">
        <v>108</v>
      </c>
      <c r="D11" t="s">
        <v>108</v>
      </c>
      <c r="E11">
        <v>1</v>
      </c>
    </row>
    <row r="12" spans="1:5" x14ac:dyDescent="0.3">
      <c r="A12" s="1">
        <v>89</v>
      </c>
      <c r="B12" t="s">
        <v>282</v>
      </c>
      <c r="C12" t="s">
        <v>283</v>
      </c>
      <c r="D12" t="s">
        <v>55</v>
      </c>
      <c r="E12">
        <v>1</v>
      </c>
    </row>
    <row r="13" spans="1:5" x14ac:dyDescent="0.3">
      <c r="A13" s="1">
        <v>19</v>
      </c>
      <c r="B13" t="s">
        <v>30</v>
      </c>
      <c r="C13" t="s">
        <v>108</v>
      </c>
      <c r="D13" t="s">
        <v>108</v>
      </c>
      <c r="E13">
        <v>1</v>
      </c>
    </row>
    <row r="14" spans="1:5" x14ac:dyDescent="0.3">
      <c r="A14" s="1">
        <v>15</v>
      </c>
      <c r="B14" t="s">
        <v>197</v>
      </c>
      <c r="C14" t="s">
        <v>108</v>
      </c>
      <c r="D14" t="s">
        <v>108</v>
      </c>
      <c r="E14">
        <v>1</v>
      </c>
    </row>
    <row r="15" spans="1:5" x14ac:dyDescent="0.3">
      <c r="A15" s="1">
        <v>45</v>
      </c>
      <c r="B15" t="s">
        <v>221</v>
      </c>
      <c r="C15" t="s">
        <v>108</v>
      </c>
      <c r="D15" t="s">
        <v>108</v>
      </c>
      <c r="E15">
        <v>1</v>
      </c>
    </row>
    <row r="16" spans="1:5" x14ac:dyDescent="0.3">
      <c r="A16" s="1">
        <v>21</v>
      </c>
      <c r="B16" t="s">
        <v>202</v>
      </c>
      <c r="C16" t="s">
        <v>108</v>
      </c>
      <c r="D16" t="s">
        <v>108</v>
      </c>
      <c r="E16">
        <v>1</v>
      </c>
    </row>
    <row r="17" spans="1:5" x14ac:dyDescent="0.3">
      <c r="A17" s="1">
        <v>49</v>
      </c>
      <c r="B17" t="s">
        <v>223</v>
      </c>
      <c r="C17" t="s">
        <v>224</v>
      </c>
      <c r="D17" t="s">
        <v>225</v>
      </c>
      <c r="E17">
        <v>1</v>
      </c>
    </row>
    <row r="18" spans="1:5" x14ac:dyDescent="0.3">
      <c r="A18" s="1">
        <v>23</v>
      </c>
      <c r="B18" t="s">
        <v>204</v>
      </c>
      <c r="C18" t="s">
        <v>108</v>
      </c>
      <c r="D18" t="s">
        <v>108</v>
      </c>
      <c r="E18">
        <v>1</v>
      </c>
    </row>
    <row r="19" spans="1:5" x14ac:dyDescent="0.3">
      <c r="A19" s="1">
        <v>24</v>
      </c>
      <c r="B19" t="s">
        <v>36</v>
      </c>
      <c r="C19" t="s">
        <v>108</v>
      </c>
      <c r="D19" t="s">
        <v>108</v>
      </c>
      <c r="E19">
        <v>1</v>
      </c>
    </row>
    <row r="20" spans="1:5" x14ac:dyDescent="0.3">
      <c r="A20" s="1">
        <v>25</v>
      </c>
      <c r="B20" t="s">
        <v>37</v>
      </c>
      <c r="C20" t="s">
        <v>108</v>
      </c>
      <c r="D20" t="s">
        <v>108</v>
      </c>
      <c r="E20">
        <v>1</v>
      </c>
    </row>
    <row r="21" spans="1:5" x14ac:dyDescent="0.3">
      <c r="A21" s="1">
        <v>36</v>
      </c>
      <c r="B21" t="s">
        <v>213</v>
      </c>
      <c r="C21" t="s">
        <v>108</v>
      </c>
      <c r="D21" t="s">
        <v>108</v>
      </c>
      <c r="E21">
        <v>1</v>
      </c>
    </row>
    <row r="22" spans="1:5" x14ac:dyDescent="0.3">
      <c r="A22" s="1">
        <v>26</v>
      </c>
      <c r="B22" t="s">
        <v>205</v>
      </c>
      <c r="C22" t="s">
        <v>108</v>
      </c>
      <c r="D22" t="s">
        <v>108</v>
      </c>
      <c r="E22">
        <v>1</v>
      </c>
    </row>
    <row r="23" spans="1:5" x14ac:dyDescent="0.3">
      <c r="A23" s="1">
        <v>28</v>
      </c>
      <c r="B23" t="s">
        <v>40</v>
      </c>
      <c r="C23" t="s">
        <v>108</v>
      </c>
      <c r="D23" t="s">
        <v>108</v>
      </c>
      <c r="E23">
        <v>1</v>
      </c>
    </row>
    <row r="24" spans="1:5" x14ac:dyDescent="0.3">
      <c r="A24" s="1">
        <v>47</v>
      </c>
      <c r="B24" t="s">
        <v>222</v>
      </c>
      <c r="C24" t="s">
        <v>108</v>
      </c>
      <c r="D24" t="s">
        <v>108</v>
      </c>
      <c r="E24">
        <v>1</v>
      </c>
    </row>
    <row r="25" spans="1:5" x14ac:dyDescent="0.3">
      <c r="A25" s="1">
        <v>30</v>
      </c>
      <c r="B25" t="s">
        <v>207</v>
      </c>
      <c r="C25" t="s">
        <v>108</v>
      </c>
      <c r="D25" t="s">
        <v>108</v>
      </c>
      <c r="E25">
        <v>1</v>
      </c>
    </row>
    <row r="26" spans="1:5" x14ac:dyDescent="0.3">
      <c r="A26" s="1">
        <v>65</v>
      </c>
      <c r="B26" t="s">
        <v>247</v>
      </c>
      <c r="C26" t="s">
        <v>108</v>
      </c>
      <c r="D26" t="s">
        <v>108</v>
      </c>
      <c r="E26">
        <v>1</v>
      </c>
    </row>
    <row r="27" spans="1:5" x14ac:dyDescent="0.3">
      <c r="A27" s="1">
        <v>42</v>
      </c>
      <c r="B27" t="s">
        <v>219</v>
      </c>
      <c r="C27" t="s">
        <v>108</v>
      </c>
      <c r="D27" t="s">
        <v>108</v>
      </c>
      <c r="E27">
        <v>1</v>
      </c>
    </row>
    <row r="28" spans="1:5" x14ac:dyDescent="0.3">
      <c r="A28" s="1">
        <v>1</v>
      </c>
      <c r="B28" t="s">
        <v>184</v>
      </c>
      <c r="C28" t="s">
        <v>108</v>
      </c>
      <c r="D28" t="s">
        <v>108</v>
      </c>
      <c r="E28">
        <v>1</v>
      </c>
    </row>
    <row r="29" spans="1:5" x14ac:dyDescent="0.3">
      <c r="A29" s="1">
        <v>2</v>
      </c>
      <c r="B29" t="s">
        <v>185</v>
      </c>
      <c r="C29" t="s">
        <v>108</v>
      </c>
      <c r="D29" t="s">
        <v>108</v>
      </c>
      <c r="E29">
        <v>1</v>
      </c>
    </row>
    <row r="30" spans="1:5" x14ac:dyDescent="0.3">
      <c r="A30" s="1">
        <v>3</v>
      </c>
      <c r="B30" t="s">
        <v>186</v>
      </c>
      <c r="C30" t="s">
        <v>108</v>
      </c>
      <c r="D30" t="s">
        <v>108</v>
      </c>
      <c r="E30">
        <v>1</v>
      </c>
    </row>
    <row r="31" spans="1:5" x14ac:dyDescent="0.3">
      <c r="A31" s="1">
        <v>4</v>
      </c>
      <c r="B31" t="s">
        <v>187</v>
      </c>
      <c r="C31" t="s">
        <v>108</v>
      </c>
      <c r="D31" t="s">
        <v>108</v>
      </c>
      <c r="E31">
        <v>1</v>
      </c>
    </row>
    <row r="32" spans="1:5" x14ac:dyDescent="0.3">
      <c r="A32" s="1">
        <v>5</v>
      </c>
      <c r="B32" t="s">
        <v>188</v>
      </c>
      <c r="C32" t="s">
        <v>108</v>
      </c>
      <c r="D32" t="s">
        <v>108</v>
      </c>
      <c r="E32">
        <v>1</v>
      </c>
    </row>
    <row r="33" spans="1:5" x14ac:dyDescent="0.3">
      <c r="A33" s="1">
        <v>7</v>
      </c>
      <c r="B33" t="s">
        <v>190</v>
      </c>
      <c r="C33" t="s">
        <v>108</v>
      </c>
      <c r="D33" t="s">
        <v>108</v>
      </c>
      <c r="E33">
        <v>1</v>
      </c>
    </row>
    <row r="34" spans="1:5" x14ac:dyDescent="0.3">
      <c r="A34" s="1">
        <v>8</v>
      </c>
      <c r="B34" t="s">
        <v>191</v>
      </c>
      <c r="C34" t="s">
        <v>108</v>
      </c>
      <c r="D34" t="s">
        <v>108</v>
      </c>
      <c r="E34">
        <v>1</v>
      </c>
    </row>
    <row r="35" spans="1:5" x14ac:dyDescent="0.3">
      <c r="A35" s="1">
        <v>9</v>
      </c>
      <c r="B35" t="s">
        <v>192</v>
      </c>
      <c r="C35" t="s">
        <v>108</v>
      </c>
      <c r="D35" t="s">
        <v>108</v>
      </c>
      <c r="E35">
        <v>1</v>
      </c>
    </row>
    <row r="36" spans="1:5" x14ac:dyDescent="0.3">
      <c r="A36" s="1">
        <v>14</v>
      </c>
      <c r="B36" t="s">
        <v>196</v>
      </c>
      <c r="C36" t="s">
        <v>108</v>
      </c>
      <c r="D36" t="s">
        <v>108</v>
      </c>
      <c r="E36">
        <v>1</v>
      </c>
    </row>
    <row r="37" spans="1:5" x14ac:dyDescent="0.3">
      <c r="A37" s="1">
        <v>17</v>
      </c>
      <c r="B37" t="s">
        <v>199</v>
      </c>
      <c r="C37" t="s">
        <v>108</v>
      </c>
      <c r="D37" t="s">
        <v>108</v>
      </c>
      <c r="E37">
        <v>1</v>
      </c>
    </row>
    <row r="38" spans="1:5" x14ac:dyDescent="0.3">
      <c r="A38" s="1">
        <v>18</v>
      </c>
      <c r="B38" t="s">
        <v>200</v>
      </c>
      <c r="C38" t="s">
        <v>108</v>
      </c>
      <c r="D38" t="s">
        <v>108</v>
      </c>
      <c r="E38">
        <v>1</v>
      </c>
    </row>
    <row r="39" spans="1:5" x14ac:dyDescent="0.3">
      <c r="A39" s="1">
        <v>20</v>
      </c>
      <c r="B39" t="s">
        <v>201</v>
      </c>
      <c r="C39" t="s">
        <v>108</v>
      </c>
      <c r="D39" t="s">
        <v>108</v>
      </c>
      <c r="E39">
        <v>1</v>
      </c>
    </row>
    <row r="40" spans="1:5" x14ac:dyDescent="0.3">
      <c r="A40" s="1">
        <v>22</v>
      </c>
      <c r="B40" t="s">
        <v>203</v>
      </c>
      <c r="C40" t="s">
        <v>108</v>
      </c>
      <c r="D40" t="s">
        <v>108</v>
      </c>
      <c r="E40">
        <v>1</v>
      </c>
    </row>
    <row r="41" spans="1:5" x14ac:dyDescent="0.3">
      <c r="A41" s="1">
        <v>29</v>
      </c>
      <c r="B41" t="s">
        <v>206</v>
      </c>
      <c r="C41" t="s">
        <v>108</v>
      </c>
      <c r="D41" t="s">
        <v>108</v>
      </c>
      <c r="E41">
        <v>1</v>
      </c>
    </row>
    <row r="42" spans="1:5" x14ac:dyDescent="0.3">
      <c r="A42" s="1">
        <v>31</v>
      </c>
      <c r="B42" t="s">
        <v>208</v>
      </c>
      <c r="C42" t="s">
        <v>108</v>
      </c>
      <c r="D42" t="s">
        <v>108</v>
      </c>
      <c r="E42">
        <v>1</v>
      </c>
    </row>
    <row r="43" spans="1:5" x14ac:dyDescent="0.3">
      <c r="A43" s="1">
        <v>32</v>
      </c>
      <c r="B43" t="s">
        <v>209</v>
      </c>
      <c r="C43" t="s">
        <v>108</v>
      </c>
      <c r="D43" t="s">
        <v>108</v>
      </c>
      <c r="E43">
        <v>1</v>
      </c>
    </row>
    <row r="44" spans="1:5" x14ac:dyDescent="0.3">
      <c r="A44" s="1">
        <v>33</v>
      </c>
      <c r="B44" t="s">
        <v>210</v>
      </c>
      <c r="C44" t="s">
        <v>108</v>
      </c>
      <c r="D44" t="s">
        <v>108</v>
      </c>
      <c r="E44">
        <v>1</v>
      </c>
    </row>
    <row r="45" spans="1:5" x14ac:dyDescent="0.3">
      <c r="A45" s="1">
        <v>34</v>
      </c>
      <c r="B45" t="s">
        <v>211</v>
      </c>
      <c r="C45" t="s">
        <v>108</v>
      </c>
      <c r="D45" t="s">
        <v>108</v>
      </c>
      <c r="E45">
        <v>1</v>
      </c>
    </row>
    <row r="46" spans="1:5" x14ac:dyDescent="0.3">
      <c r="A46" s="1">
        <v>35</v>
      </c>
      <c r="B46" t="s">
        <v>212</v>
      </c>
      <c r="C46" t="s">
        <v>108</v>
      </c>
      <c r="D46" t="s">
        <v>108</v>
      </c>
      <c r="E46">
        <v>1</v>
      </c>
    </row>
    <row r="47" spans="1:5" x14ac:dyDescent="0.3">
      <c r="A47" s="1">
        <v>37</v>
      </c>
      <c r="B47" t="s">
        <v>214</v>
      </c>
      <c r="C47" t="s">
        <v>108</v>
      </c>
      <c r="D47" t="s">
        <v>108</v>
      </c>
      <c r="E47">
        <v>1</v>
      </c>
    </row>
    <row r="48" spans="1:5" x14ac:dyDescent="0.3">
      <c r="A48" s="1">
        <v>38</v>
      </c>
      <c r="B48" t="s">
        <v>215</v>
      </c>
      <c r="C48" t="s">
        <v>108</v>
      </c>
      <c r="D48" t="s">
        <v>108</v>
      </c>
      <c r="E48">
        <v>1</v>
      </c>
    </row>
    <row r="49" spans="1:5" x14ac:dyDescent="0.3">
      <c r="A49" s="1">
        <v>39</v>
      </c>
      <c r="B49" t="s">
        <v>216</v>
      </c>
      <c r="C49" t="s">
        <v>108</v>
      </c>
      <c r="D49" t="s">
        <v>108</v>
      </c>
      <c r="E49">
        <v>1</v>
      </c>
    </row>
    <row r="50" spans="1:5" x14ac:dyDescent="0.3">
      <c r="A50" s="1">
        <v>40</v>
      </c>
      <c r="B50" t="s">
        <v>217</v>
      </c>
      <c r="C50" t="s">
        <v>108</v>
      </c>
      <c r="D50" t="s">
        <v>108</v>
      </c>
      <c r="E50">
        <v>1</v>
      </c>
    </row>
    <row r="51" spans="1:5" x14ac:dyDescent="0.3">
      <c r="A51" s="1">
        <v>41</v>
      </c>
      <c r="B51" t="s">
        <v>218</v>
      </c>
      <c r="C51" t="s">
        <v>108</v>
      </c>
      <c r="D51" t="s">
        <v>108</v>
      </c>
      <c r="E51">
        <v>1</v>
      </c>
    </row>
    <row r="52" spans="1:5" x14ac:dyDescent="0.3">
      <c r="A52" s="1">
        <v>44</v>
      </c>
      <c r="B52" t="s">
        <v>220</v>
      </c>
      <c r="C52" t="s">
        <v>108</v>
      </c>
      <c r="D52" t="s">
        <v>108</v>
      </c>
      <c r="E52">
        <v>1</v>
      </c>
    </row>
    <row r="53" spans="1:5" x14ac:dyDescent="0.3">
      <c r="A53" s="1">
        <v>50</v>
      </c>
      <c r="B53" t="s">
        <v>226</v>
      </c>
      <c r="C53" t="s">
        <v>227</v>
      </c>
      <c r="D53" t="s">
        <v>108</v>
      </c>
      <c r="E53">
        <v>1</v>
      </c>
    </row>
    <row r="54" spans="1:5" x14ac:dyDescent="0.3">
      <c r="A54" s="1">
        <v>51</v>
      </c>
      <c r="B54" t="s">
        <v>228</v>
      </c>
      <c r="C54" t="s">
        <v>229</v>
      </c>
      <c r="D54" t="s">
        <v>108</v>
      </c>
      <c r="E54">
        <v>1</v>
      </c>
    </row>
    <row r="55" spans="1:5" x14ac:dyDescent="0.3">
      <c r="A55" s="1">
        <v>52</v>
      </c>
      <c r="B55" t="s">
        <v>230</v>
      </c>
      <c r="C55" t="s">
        <v>108</v>
      </c>
      <c r="D55" t="s">
        <v>108</v>
      </c>
      <c r="E55">
        <v>1</v>
      </c>
    </row>
    <row r="56" spans="1:5" x14ac:dyDescent="0.3">
      <c r="A56" s="1">
        <v>54</v>
      </c>
      <c r="B56" t="s">
        <v>231</v>
      </c>
      <c r="C56" t="s">
        <v>232</v>
      </c>
      <c r="D56" t="s">
        <v>233</v>
      </c>
      <c r="E56">
        <v>1</v>
      </c>
    </row>
    <row r="57" spans="1:5" x14ac:dyDescent="0.3">
      <c r="A57" s="1">
        <v>57</v>
      </c>
      <c r="B57" t="s">
        <v>234</v>
      </c>
      <c r="C57" t="s">
        <v>235</v>
      </c>
      <c r="D57" t="s">
        <v>236</v>
      </c>
      <c r="E57">
        <v>1</v>
      </c>
    </row>
    <row r="58" spans="1:5" x14ac:dyDescent="0.3">
      <c r="A58" s="1">
        <v>58</v>
      </c>
      <c r="B58" t="s">
        <v>237</v>
      </c>
      <c r="C58" t="s">
        <v>238</v>
      </c>
      <c r="D58" t="s">
        <v>108</v>
      </c>
      <c r="E58">
        <v>1</v>
      </c>
    </row>
    <row r="59" spans="1:5" x14ac:dyDescent="0.3">
      <c r="A59" s="1">
        <v>59</v>
      </c>
      <c r="B59" t="s">
        <v>239</v>
      </c>
      <c r="C59" t="s">
        <v>108</v>
      </c>
      <c r="D59" t="s">
        <v>108</v>
      </c>
      <c r="E59">
        <v>1</v>
      </c>
    </row>
    <row r="60" spans="1:5" x14ac:dyDescent="0.3">
      <c r="A60" s="1">
        <v>60</v>
      </c>
      <c r="B60" t="s">
        <v>240</v>
      </c>
      <c r="C60" t="s">
        <v>108</v>
      </c>
      <c r="D60" t="s">
        <v>108</v>
      </c>
      <c r="E60">
        <v>1</v>
      </c>
    </row>
    <row r="61" spans="1:5" x14ac:dyDescent="0.3">
      <c r="A61" s="1">
        <v>61</v>
      </c>
      <c r="B61" t="s">
        <v>241</v>
      </c>
      <c r="C61" t="s">
        <v>108</v>
      </c>
      <c r="D61" t="s">
        <v>108</v>
      </c>
      <c r="E61">
        <v>1</v>
      </c>
    </row>
    <row r="62" spans="1:5" x14ac:dyDescent="0.3">
      <c r="A62" s="1">
        <v>62</v>
      </c>
      <c r="B62" t="s">
        <v>242</v>
      </c>
      <c r="C62" t="s">
        <v>108</v>
      </c>
      <c r="D62" t="s">
        <v>243</v>
      </c>
      <c r="E62">
        <v>1</v>
      </c>
    </row>
    <row r="63" spans="1:5" x14ac:dyDescent="0.3">
      <c r="A63" s="1">
        <v>63</v>
      </c>
      <c r="B63" t="s">
        <v>244</v>
      </c>
      <c r="C63" t="s">
        <v>108</v>
      </c>
      <c r="D63" t="s">
        <v>245</v>
      </c>
      <c r="E63">
        <v>1</v>
      </c>
    </row>
    <row r="64" spans="1:5" x14ac:dyDescent="0.3">
      <c r="A64" s="1">
        <v>64</v>
      </c>
      <c r="B64" t="s">
        <v>246</v>
      </c>
      <c r="C64" t="s">
        <v>108</v>
      </c>
      <c r="D64" t="s">
        <v>108</v>
      </c>
      <c r="E64">
        <v>1</v>
      </c>
    </row>
    <row r="65" spans="1:5" x14ac:dyDescent="0.3">
      <c r="A65" s="1">
        <v>67</v>
      </c>
      <c r="B65" t="s">
        <v>248</v>
      </c>
      <c r="E65">
        <v>1</v>
      </c>
    </row>
    <row r="66" spans="1:5" x14ac:dyDescent="0.3">
      <c r="A66" s="1">
        <v>69</v>
      </c>
      <c r="B66" t="s">
        <v>249</v>
      </c>
      <c r="E66">
        <v>1</v>
      </c>
    </row>
    <row r="67" spans="1:5" x14ac:dyDescent="0.3">
      <c r="A67" s="1">
        <v>70</v>
      </c>
      <c r="B67" t="s">
        <v>250</v>
      </c>
      <c r="C67" t="s">
        <v>251</v>
      </c>
      <c r="D67" t="s">
        <v>251</v>
      </c>
      <c r="E67">
        <v>1</v>
      </c>
    </row>
    <row r="68" spans="1:5" x14ac:dyDescent="0.3">
      <c r="A68" s="1">
        <v>71</v>
      </c>
      <c r="B68" t="s">
        <v>252</v>
      </c>
      <c r="C68" t="s">
        <v>253</v>
      </c>
      <c r="D68" t="s">
        <v>253</v>
      </c>
      <c r="E68">
        <v>1</v>
      </c>
    </row>
    <row r="69" spans="1:5" x14ac:dyDescent="0.3">
      <c r="A69" s="1">
        <v>75</v>
      </c>
      <c r="B69" t="s">
        <v>254</v>
      </c>
      <c r="E69">
        <v>1</v>
      </c>
    </row>
    <row r="70" spans="1:5" x14ac:dyDescent="0.3">
      <c r="A70" s="1">
        <v>76</v>
      </c>
      <c r="B70" t="s">
        <v>255</v>
      </c>
      <c r="C70" t="s">
        <v>256</v>
      </c>
      <c r="D70" t="s">
        <v>257</v>
      </c>
      <c r="E70">
        <v>1</v>
      </c>
    </row>
    <row r="71" spans="1:5" x14ac:dyDescent="0.3">
      <c r="A71" s="1">
        <v>77</v>
      </c>
      <c r="B71" t="s">
        <v>258</v>
      </c>
      <c r="C71" t="s">
        <v>259</v>
      </c>
      <c r="E71">
        <v>1</v>
      </c>
    </row>
    <row r="72" spans="1:5" x14ac:dyDescent="0.3">
      <c r="A72" s="1">
        <v>78</v>
      </c>
      <c r="B72" t="s">
        <v>260</v>
      </c>
      <c r="C72" t="s">
        <v>261</v>
      </c>
      <c r="D72" t="s">
        <v>262</v>
      </c>
      <c r="E72">
        <v>1</v>
      </c>
    </row>
    <row r="73" spans="1:5" x14ac:dyDescent="0.3">
      <c r="A73" s="1">
        <v>79</v>
      </c>
      <c r="B73" t="s">
        <v>263</v>
      </c>
      <c r="C73" t="s">
        <v>264</v>
      </c>
      <c r="D73" t="s">
        <v>265</v>
      </c>
      <c r="E73">
        <v>1</v>
      </c>
    </row>
    <row r="74" spans="1:5" x14ac:dyDescent="0.3">
      <c r="A74" s="1">
        <v>80</v>
      </c>
      <c r="B74" t="s">
        <v>266</v>
      </c>
      <c r="C74" t="s">
        <v>267</v>
      </c>
      <c r="D74" t="s">
        <v>268</v>
      </c>
      <c r="E74">
        <v>1</v>
      </c>
    </row>
    <row r="75" spans="1:5" x14ac:dyDescent="0.3">
      <c r="A75" s="1">
        <v>81</v>
      </c>
      <c r="B75" t="s">
        <v>269</v>
      </c>
      <c r="C75" t="s">
        <v>267</v>
      </c>
      <c r="D75" t="s">
        <v>270</v>
      </c>
      <c r="E75">
        <v>1</v>
      </c>
    </row>
    <row r="76" spans="1:5" x14ac:dyDescent="0.3">
      <c r="A76" s="1">
        <v>82</v>
      </c>
      <c r="B76" t="s">
        <v>271</v>
      </c>
      <c r="C76" t="s">
        <v>272</v>
      </c>
      <c r="D76" t="s">
        <v>273</v>
      </c>
      <c r="E76">
        <v>1</v>
      </c>
    </row>
    <row r="77" spans="1:5" x14ac:dyDescent="0.3">
      <c r="A77" s="1">
        <v>83</v>
      </c>
      <c r="B77" t="s">
        <v>271</v>
      </c>
      <c r="C77" t="s">
        <v>274</v>
      </c>
      <c r="D77" t="s">
        <v>273</v>
      </c>
      <c r="E77">
        <v>1</v>
      </c>
    </row>
    <row r="78" spans="1:5" x14ac:dyDescent="0.3">
      <c r="A78" s="1">
        <v>85</v>
      </c>
      <c r="B78" t="s">
        <v>276</v>
      </c>
      <c r="E78">
        <v>1</v>
      </c>
    </row>
    <row r="79" spans="1:5" x14ac:dyDescent="0.3">
      <c r="A79" s="1">
        <v>87</v>
      </c>
      <c r="B79" t="s">
        <v>278</v>
      </c>
      <c r="C79" t="s">
        <v>279</v>
      </c>
      <c r="D79" t="s">
        <v>280</v>
      </c>
      <c r="E79">
        <v>1</v>
      </c>
    </row>
    <row r="80" spans="1:5" x14ac:dyDescent="0.3">
      <c r="A80" s="1">
        <v>88</v>
      </c>
      <c r="B80" t="s">
        <v>281</v>
      </c>
      <c r="C80" t="s">
        <v>108</v>
      </c>
      <c r="D80" t="s">
        <v>108</v>
      </c>
      <c r="E80">
        <v>1</v>
      </c>
    </row>
    <row r="81" spans="1:5" x14ac:dyDescent="0.3">
      <c r="A81" s="1">
        <v>90</v>
      </c>
      <c r="B81" t="s">
        <v>284</v>
      </c>
      <c r="C81" t="s">
        <v>285</v>
      </c>
      <c r="D81" t="s">
        <v>286</v>
      </c>
      <c r="E81">
        <v>1</v>
      </c>
    </row>
    <row r="82" spans="1:5" x14ac:dyDescent="0.3">
      <c r="A82" s="1">
        <v>91</v>
      </c>
      <c r="B82" t="s">
        <v>287</v>
      </c>
      <c r="E82">
        <v>0</v>
      </c>
    </row>
    <row r="83" spans="1:5" x14ac:dyDescent="0.3">
      <c r="A83" s="1">
        <v>92</v>
      </c>
      <c r="B83" t="s">
        <v>288</v>
      </c>
      <c r="C83" t="s">
        <v>289</v>
      </c>
      <c r="D83" t="s">
        <v>290</v>
      </c>
      <c r="E83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CI_RAZON_SOCIAL</vt:lpstr>
      <vt:lpstr>ERM EMPRESA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Hector A. Gonzalez</cp:lastModifiedBy>
  <dcterms:created xsi:type="dcterms:W3CDTF">2018-09-18T15:42:40Z</dcterms:created>
  <dcterms:modified xsi:type="dcterms:W3CDTF">2018-10-16T23:25:50Z</dcterms:modified>
</cp:coreProperties>
</file>