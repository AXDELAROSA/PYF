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1.Tomza_HGF\TI_TecnologiaInformacion\Workbook\PYF18_Finanzas\4.Construccion\CodigoSQL\PYF18_Liberacion_R0.00_Base_V0035\Scripts_R101\"/>
    </mc:Choice>
  </mc:AlternateContent>
  <bookViews>
    <workbookView xWindow="0" yWindow="0" windowWidth="20496" windowHeight="7752"/>
  </bookViews>
  <sheets>
    <sheet name="CI_UNIDAD_OPERATIVA" sheetId="3" r:id="rId1"/>
    <sheet name="UNIDAD OPERATIVA" sheetId="4" r:id="rId2"/>
  </sheets>
  <definedNames>
    <definedName name="_xlnm._FilterDatabase" localSheetId="0" hidden="1">CI_UNIDAD_OPERATIVA!$A$1:$Y$86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" i="3" l="1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G85" i="3" l="1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</calcChain>
</file>

<file path=xl/sharedStrings.xml><?xml version="1.0" encoding="utf-8"?>
<sst xmlns="http://schemas.openxmlformats.org/spreadsheetml/2006/main" count="1093" uniqueCount="215">
  <si>
    <t>GUADALUPE</t>
  </si>
  <si>
    <t>PARRAL</t>
  </si>
  <si>
    <t>BIOGAS</t>
  </si>
  <si>
    <t>LAS SIERRA</t>
  </si>
  <si>
    <t>PALOMAS</t>
  </si>
  <si>
    <t>PUEBLO</t>
  </si>
  <si>
    <t>HIDRO I</t>
  </si>
  <si>
    <t>FLORES MAGON</t>
  </si>
  <si>
    <t>DELICIAS</t>
  </si>
  <si>
    <t>MARKETING</t>
  </si>
  <si>
    <t>ASCENSION</t>
  </si>
  <si>
    <t>OJINAGA</t>
  </si>
  <si>
    <t>UNIGAS MATRIZ</t>
  </si>
  <si>
    <t>BUENAVENTURA</t>
  </si>
  <si>
    <t>CAMARGO</t>
  </si>
  <si>
    <t>BENITO JUAREZ</t>
  </si>
  <si>
    <t>HIDRO II</t>
  </si>
  <si>
    <t>L_DEBUG</t>
  </si>
  <si>
    <t>K_SISTEMA_EXE</t>
  </si>
  <si>
    <t>[K_UNIDAD_OPERATIVA]</t>
  </si>
  <si>
    <t>[D_UNIDAD_OPERATIVA]</t>
  </si>
  <si>
    <t>[S_UNIDAD_OPERATIVA]</t>
  </si>
  <si>
    <t>[O_UNIDAD_OPERATIVA]</t>
  </si>
  <si>
    <t>[C_UNIDAD_OPERATIVA]</t>
  </si>
  <si>
    <t>[L_UNIDAD_OPERATIVA]</t>
  </si>
  <si>
    <t>GAS CHAPULTEPEC</t>
  </si>
  <si>
    <t>GAS TOMZA DE PUEBLA</t>
  </si>
  <si>
    <t>GAS Y SERVICIO</t>
  </si>
  <si>
    <t>GASOMATICO</t>
  </si>
  <si>
    <t>GTM-TEPEJI</t>
  </si>
  <si>
    <t>MEXICANA DE GAS</t>
  </si>
  <si>
    <t>UNIGAS TLAHUAC</t>
  </si>
  <si>
    <t>UNIGAS TOLUCA</t>
  </si>
  <si>
    <t>TEHUACAN</t>
  </si>
  <si>
    <t>SAN LUIS POTOSI</t>
  </si>
  <si>
    <t>QUERETARO</t>
  </si>
  <si>
    <t>GAS URIBE</t>
  </si>
  <si>
    <t>ZAPOPAN</t>
  </si>
  <si>
    <t>HIDROGAS ACAPULCO</t>
  </si>
  <si>
    <t>MORELOS</t>
  </si>
  <si>
    <t>Sin Asignar</t>
  </si>
  <si>
    <t>TIJUANA</t>
  </si>
  <si>
    <t>MEXICALI</t>
  </si>
  <si>
    <t>ENSENADA</t>
  </si>
  <si>
    <t>HERMOSILLO</t>
  </si>
  <si>
    <t>URES</t>
  </si>
  <si>
    <t>AGUAPRIETA</t>
  </si>
  <si>
    <t>CANANEA</t>
  </si>
  <si>
    <t>NACO</t>
  </si>
  <si>
    <t>NACOZARI</t>
  </si>
  <si>
    <t>NOGALES</t>
  </si>
  <si>
    <t>SANTA ANA</t>
  </si>
  <si>
    <t>CABORCA</t>
  </si>
  <si>
    <t>PUERTO PEÑASCO</t>
  </si>
  <si>
    <t>GUAYMAS</t>
  </si>
  <si>
    <t>OBREGON</t>
  </si>
  <si>
    <t>NAVOJOA</t>
  </si>
  <si>
    <t>SAN LUIS RIO COLORADO</t>
  </si>
  <si>
    <t>FUNDICION</t>
  </si>
  <si>
    <t>LA LAJA</t>
  </si>
  <si>
    <t>TLAJOMULCO</t>
  </si>
  <si>
    <t>TEPATITLAN</t>
  </si>
  <si>
    <t>OCOTLAN</t>
  </si>
  <si>
    <t>YAHUALICA</t>
  </si>
  <si>
    <t>CD. GUZMAN</t>
  </si>
  <si>
    <t>AUTLAN</t>
  </si>
  <si>
    <t>GAS PRONTO</t>
  </si>
  <si>
    <t>CANCUN</t>
  </si>
  <si>
    <t>COZUMEL</t>
  </si>
  <si>
    <t>CHETUMAL</t>
  </si>
  <si>
    <t>MERIDA</t>
  </si>
  <si>
    <t>TICUL</t>
  </si>
  <si>
    <t>CAMPECHE</t>
  </si>
  <si>
    <t>CD. DEL CARMEN</t>
  </si>
  <si>
    <t>MINATITLAN</t>
  </si>
  <si>
    <t>PROGRESO</t>
  </si>
  <si>
    <t>AGUASCALIENTES</t>
  </si>
  <si>
    <t>SAN QUINTIN</t>
  </si>
  <si>
    <t>MAMEME GAS</t>
  </si>
  <si>
    <t>PLAYA DEL CARMEN</t>
  </si>
  <si>
    <t>HIDALGO</t>
  </si>
  <si>
    <t>MOCHIS</t>
  </si>
  <si>
    <t>TERMINAL JUAREZ</t>
  </si>
  <si>
    <t>GUADALAJARA</t>
  </si>
  <si>
    <t>CULIACAN</t>
  </si>
  <si>
    <t>TESISTAN</t>
  </si>
  <si>
    <t>PEPSICO</t>
  </si>
  <si>
    <t>VERACRUZ</t>
  </si>
  <si>
    <t>GUANAJUATO</t>
  </si>
  <si>
    <t>GTM-TEPEJI-CDMX</t>
  </si>
  <si>
    <t>KM80</t>
  </si>
  <si>
    <t>[K_ZONA_SUCURSAL]</t>
  </si>
  <si>
    <t>[ICS_sucursalId]</t>
  </si>
  <si>
    <t>ESTRATEGIA</t>
  </si>
  <si>
    <t>PK</t>
  </si>
  <si>
    <t>Nombre Campo</t>
  </si>
  <si>
    <t>Tipo Dato</t>
  </si>
  <si>
    <t>NULL</t>
  </si>
  <si>
    <t>X</t>
  </si>
  <si>
    <t>INT</t>
  </si>
  <si>
    <t xml:space="preserve">[K_ESTRATEGIA] </t>
  </si>
  <si>
    <t>VARCHAR (100)</t>
  </si>
  <si>
    <t>[D_ESTRATEGIA]</t>
  </si>
  <si>
    <t xml:space="preserve">[K_UNIDAD_OPERATIVA] </t>
  </si>
  <si>
    <t>VARCHAR (10)</t>
  </si>
  <si>
    <t>UNIDAD OPERATIVA</t>
  </si>
  <si>
    <t>[K_ZONA_UO]</t>
  </si>
  <si>
    <t>CUAUHTEMOC</t>
  </si>
  <si>
    <t>CNCUN</t>
  </si>
  <si>
    <t>CHTMA</t>
  </si>
  <si>
    <t>CZMEL</t>
  </si>
  <si>
    <t>CUAUH</t>
  </si>
  <si>
    <t>QRTRO</t>
  </si>
  <si>
    <t>SLPTS</t>
  </si>
  <si>
    <t>VRCUZ</t>
  </si>
  <si>
    <t>S/A</t>
  </si>
  <si>
    <t>[K_USUARIO_ALTA]</t>
  </si>
  <si>
    <t>[F_ALTA]</t>
  </si>
  <si>
    <t>[K_USUARIO_CAMBIO]</t>
  </si>
  <si>
    <t>[F_CAMBIO]</t>
  </si>
  <si>
    <t>[L_BORRADO]</t>
  </si>
  <si>
    <t>VARCHAR (500)</t>
  </si>
  <si>
    <t>[K_TIPO_UO]</t>
  </si>
  <si>
    <t>DATETIME</t>
  </si>
  <si>
    <t>[K_USUARIO_BAJA]</t>
  </si>
  <si>
    <t>[F_BAJA]</t>
  </si>
  <si>
    <t>K_SERVIDOR</t>
  </si>
  <si>
    <t>K_RAZON_SOCIAL</t>
  </si>
  <si>
    <t>K_REGION</t>
  </si>
  <si>
    <t>PERMISO_CRE</t>
  </si>
  <si>
    <t>TELEFONO</t>
  </si>
  <si>
    <t>CALLE</t>
  </si>
  <si>
    <t>NUMERO_EXTERIOR</t>
  </si>
  <si>
    <t>NUMERO_INTERIOR</t>
  </si>
  <si>
    <t>COLONIA</t>
  </si>
  <si>
    <t>POBLACION</t>
  </si>
  <si>
    <t>CP</t>
  </si>
  <si>
    <t>MUNICIPIO</t>
  </si>
  <si>
    <t>MATRIZ</t>
  </si>
  <si>
    <t>''</t>
  </si>
  <si>
    <t>GUADA</t>
  </si>
  <si>
    <t>GDLPE</t>
  </si>
  <si>
    <t>PRRAL</t>
  </si>
  <si>
    <t>BIOGS</t>
  </si>
  <si>
    <t>SIERR</t>
  </si>
  <si>
    <t>PALMS</t>
  </si>
  <si>
    <t>PUBLO</t>
  </si>
  <si>
    <t>HID.1</t>
  </si>
  <si>
    <t>HID.2</t>
  </si>
  <si>
    <t>FMAGN</t>
  </si>
  <si>
    <t>DELCS</t>
  </si>
  <si>
    <t>ASCNS</t>
  </si>
  <si>
    <t>MKTNG</t>
  </si>
  <si>
    <t>OJNGA</t>
  </si>
  <si>
    <t>UNISJ</t>
  </si>
  <si>
    <t>CAMRG</t>
  </si>
  <si>
    <t>BNVTR</t>
  </si>
  <si>
    <t>BJREZ</t>
  </si>
  <si>
    <t>GCHAP</t>
  </si>
  <si>
    <t>GTPUE</t>
  </si>
  <si>
    <t>GASYS</t>
  </si>
  <si>
    <t>GSOMT</t>
  </si>
  <si>
    <t>MEXGS</t>
  </si>
  <si>
    <t>TEPJI</t>
  </si>
  <si>
    <t>UNITL</t>
  </si>
  <si>
    <t>UNITO</t>
  </si>
  <si>
    <t>TEHCN</t>
  </si>
  <si>
    <t>URIBE</t>
  </si>
  <si>
    <t>ZAPPN</t>
  </si>
  <si>
    <t>HGACA</t>
  </si>
  <si>
    <t>MORLS</t>
  </si>
  <si>
    <t>TIJNA</t>
  </si>
  <si>
    <t>MXCLI</t>
  </si>
  <si>
    <t>ENSND</t>
  </si>
  <si>
    <t>HILLO</t>
  </si>
  <si>
    <t>AGPRT</t>
  </si>
  <si>
    <t>URES_</t>
  </si>
  <si>
    <t>CANNE</t>
  </si>
  <si>
    <t>NACZA</t>
  </si>
  <si>
    <t>NOGLS</t>
  </si>
  <si>
    <t>NACO_</t>
  </si>
  <si>
    <t>STANA</t>
  </si>
  <si>
    <t>PEÑSC</t>
  </si>
  <si>
    <t>CBRCA</t>
  </si>
  <si>
    <t>GUAYM</t>
  </si>
  <si>
    <t>OBRGN</t>
  </si>
  <si>
    <t>NAVOJ</t>
  </si>
  <si>
    <t>SNLRC</t>
  </si>
  <si>
    <t>FNDCN</t>
  </si>
  <si>
    <t>LALJA</t>
  </si>
  <si>
    <t>TLAJO</t>
  </si>
  <si>
    <t>TEPAT</t>
  </si>
  <si>
    <t>OCOTL</t>
  </si>
  <si>
    <t>YAHUA</t>
  </si>
  <si>
    <t>CDGZM</t>
  </si>
  <si>
    <t>AUTLN</t>
  </si>
  <si>
    <t>GSPTO</t>
  </si>
  <si>
    <t>MERID</t>
  </si>
  <si>
    <t>CDCAR</t>
  </si>
  <si>
    <t>CMPCH</t>
  </si>
  <si>
    <t>MINAT</t>
  </si>
  <si>
    <t>PRGSO</t>
  </si>
  <si>
    <t>AGUAS</t>
  </si>
  <si>
    <t>MAMEM</t>
  </si>
  <si>
    <t>PYACA</t>
  </si>
  <si>
    <t>SNQTN</t>
  </si>
  <si>
    <t>HDLGO</t>
  </si>
  <si>
    <t>MOCHS</t>
  </si>
  <si>
    <t>JUARZ</t>
  </si>
  <si>
    <t>CULCN</t>
  </si>
  <si>
    <t>TESTN</t>
  </si>
  <si>
    <t>PEPSI</t>
  </si>
  <si>
    <t>GNJTO</t>
  </si>
  <si>
    <t>NVOCG</t>
  </si>
  <si>
    <t>KM.80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</si>
</sst>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C00000"/>
      <name val="Courier New"/>
      <family val="3"/>
    </font>
    <font>
      <b/>
      <sz val="11"/>
      <color rgb="FFC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49" fontId="13" fillId="0" borderId="0" xfId="0" applyNumberFormat="1" applyFont="1" applyAlignment="1">
      <alignment horizontal="left"/>
    </xf>
    <xf numFmtId="49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5" fillId="0" borderId="0" xfId="0" quotePrefix="1" applyFont="1"/>
    <xf numFmtId="0" fontId="14" fillId="0" borderId="0" xfId="0" applyFont="1"/>
    <xf numFmtId="0" fontId="16" fillId="0" borderId="0" xfId="0" applyFont="1" applyAlignment="1">
      <alignment horizontal="center"/>
    </xf>
    <xf numFmtId="49" fontId="14" fillId="0" borderId="0" xfId="0" applyNumberFormat="1" applyFont="1"/>
    <xf numFmtId="0" fontId="14" fillId="0" borderId="0" xfId="0" applyNumberFormat="1" applyFont="1"/>
    <xf numFmtId="0" fontId="14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49" fontId="14" fillId="0" borderId="0" xfId="0" applyNumberFormat="1" applyFont="1" applyAlignment="1">
      <alignment horizont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/>
    <xf numFmtId="0" fontId="5" fillId="0" borderId="0" xfId="0" applyFont="1"/>
    <xf numFmtId="49" fontId="14" fillId="0" borderId="0" xfId="0" applyNumberFormat="1" applyFont="1" applyFill="1"/>
    <xf numFmtId="1" fontId="0" fillId="0" borderId="0" xfId="0" applyNumberFormat="1"/>
    <xf numFmtId="0" fontId="14" fillId="0" borderId="0" xfId="0" quotePrefix="1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Y90"/>
  <sheetViews>
    <sheetView tabSelected="1" zoomScale="120" zoomScaleNormal="120" workbookViewId="0">
      <pane xSplit="4" ySplit="1" topLeftCell="F67" activePane="bottomRight" state="frozen"/>
      <selection pane="topRight" activeCell="E1" sqref="E1"/>
      <selection pane="bottomLeft" activeCell="A2" sqref="A2"/>
      <selection pane="bottomRight" activeCell="I83" sqref="I83"/>
    </sheetView>
  </sheetViews>
  <sheetFormatPr baseColWidth="10" defaultColWidth="11.44140625" defaultRowHeight="13.8" x14ac:dyDescent="0.3"/>
  <cols>
    <col min="1" max="2" width="11.44140625" style="24"/>
    <col min="3" max="3" width="7.5546875" style="33" customWidth="1"/>
    <col min="4" max="4" width="14.33203125" style="28" customWidth="1"/>
    <col min="5" max="5" width="23.44140625" style="28" customWidth="1"/>
    <col min="6" max="6" width="23.33203125" style="45" customWidth="1"/>
    <col min="7" max="7" width="23.5546875" style="28" customWidth="1"/>
    <col min="8" max="9" width="23.6640625" style="30" customWidth="1"/>
    <col min="10" max="10" width="20.109375" style="34" customWidth="1"/>
    <col min="11" max="16" width="15" style="34" customWidth="1"/>
    <col min="17" max="17" width="17.44140625" style="30" customWidth="1"/>
    <col min="18" max="18" width="12.33203125" style="41" customWidth="1"/>
    <col min="19" max="20" width="20.109375" style="28" customWidth="1"/>
    <col min="21" max="21" width="12.33203125" style="30" customWidth="1"/>
    <col min="22" max="23" width="11.44140625" style="28" customWidth="1"/>
    <col min="24" max="16384" width="11.44140625" style="28"/>
  </cols>
  <sheetData>
    <row r="1" spans="1:25" s="21" customFormat="1" ht="14.4" x14ac:dyDescent="0.3">
      <c r="A1" s="21" t="s">
        <v>17</v>
      </c>
      <c r="B1" s="21" t="s">
        <v>18</v>
      </c>
      <c r="C1" s="21" t="s">
        <v>19</v>
      </c>
      <c r="D1" s="21" t="s">
        <v>20</v>
      </c>
      <c r="E1" s="21" t="s">
        <v>23</v>
      </c>
      <c r="F1" s="45" t="s">
        <v>21</v>
      </c>
      <c r="G1" s="21" t="s">
        <v>22</v>
      </c>
      <c r="H1" s="22" t="s">
        <v>24</v>
      </c>
      <c r="I1" t="s">
        <v>122</v>
      </c>
      <c r="J1" s="23" t="s">
        <v>91</v>
      </c>
      <c r="K1" s="23" t="s">
        <v>92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137</v>
      </c>
      <c r="Y1" s="21" t="str">
        <f>"-- ====================================================================== CI_UNIDAD_OPERATIVA"</f>
        <v>-- ====================================================================== CI_UNIDAD_OPERATIVA</v>
      </c>
    </row>
    <row r="2" spans="1:25" ht="14.4" x14ac:dyDescent="0.3">
      <c r="A2" s="24">
        <v>0</v>
      </c>
      <c r="B2" s="24">
        <v>0</v>
      </c>
      <c r="C2" s="25">
        <v>0</v>
      </c>
      <c r="D2" s="26" t="s">
        <v>40</v>
      </c>
      <c r="E2" s="27" t="s">
        <v>40</v>
      </c>
      <c r="F2" s="45" t="s">
        <v>115</v>
      </c>
      <c r="G2" s="28">
        <v>0</v>
      </c>
      <c r="H2" s="28">
        <v>1</v>
      </c>
      <c r="I2">
        <v>10</v>
      </c>
      <c r="J2" s="24">
        <v>0</v>
      </c>
      <c r="K2" s="24">
        <v>0</v>
      </c>
      <c r="L2">
        <v>0</v>
      </c>
      <c r="M2" s="24">
        <v>0</v>
      </c>
      <c r="N2" s="45">
        <v>0</v>
      </c>
      <c r="O2" s="43" t="s">
        <v>139</v>
      </c>
      <c r="P2" s="43" t="s">
        <v>139</v>
      </c>
      <c r="Q2" s="43" t="s">
        <v>139</v>
      </c>
      <c r="R2" s="43" t="s">
        <v>139</v>
      </c>
      <c r="S2" s="43" t="s">
        <v>139</v>
      </c>
      <c r="T2" s="43" t="s">
        <v>139</v>
      </c>
      <c r="U2" s="43" t="s">
        <v>139</v>
      </c>
      <c r="V2" s="43" t="s">
        <v>139</v>
      </c>
      <c r="W2" s="43" t="s">
        <v>139</v>
      </c>
      <c r="Y2" s="44" t="str">
        <f>CONCATENATE("EXECUTE [dbo].[PG_CI_UNIDAD_OPERATIVA]"," ",A2,", ",B2,", ",C2,", '",D2,"', '",E2,"', '",F2,"', ",G2,", ",H2,", ",I2,", ",J2,", ",K2,", ",L2,", ",M2,", ",N2,", ",O2,", ",P2,", ",Q2,", ",R2,", ",S2,", ",T2,", ",U2,", ",V2,", ",W2)</f>
        <v>EXECUTE [dbo].[PG_CI_UNIDAD_OPERATIVA] 0, 0, 0, 'Sin Asignar', 'Sin Asignar', 'S/A', 0, 1, 10, 0, 0, 0, 0, 0, '', '', '', '', '', '', '', '', ''</v>
      </c>
    </row>
    <row r="3" spans="1:25" ht="14.4" x14ac:dyDescent="0.3">
      <c r="A3" s="24">
        <v>0</v>
      </c>
      <c r="B3" s="24">
        <v>0</v>
      </c>
      <c r="C3" s="25">
        <v>1</v>
      </c>
      <c r="D3" s="26" t="s">
        <v>0</v>
      </c>
      <c r="E3" s="26" t="s">
        <v>0</v>
      </c>
      <c r="F3" s="46" t="s">
        <v>141</v>
      </c>
      <c r="G3" s="28">
        <f>C3*10</f>
        <v>10</v>
      </c>
      <c r="H3" s="28">
        <v>1</v>
      </c>
      <c r="I3">
        <v>10</v>
      </c>
      <c r="J3" s="24">
        <v>30</v>
      </c>
      <c r="K3" s="24">
        <v>23</v>
      </c>
      <c r="L3">
        <v>40</v>
      </c>
      <c r="M3" s="24">
        <v>13</v>
      </c>
      <c r="N3" s="45">
        <v>1030</v>
      </c>
      <c r="O3" s="43" t="s">
        <v>139</v>
      </c>
      <c r="P3" s="43" t="s">
        <v>139</v>
      </c>
      <c r="Q3" s="43" t="s">
        <v>139</v>
      </c>
      <c r="R3" s="43" t="s">
        <v>139</v>
      </c>
      <c r="S3" s="43" t="s">
        <v>139</v>
      </c>
      <c r="T3" s="43" t="s">
        <v>139</v>
      </c>
      <c r="U3" s="43" t="s">
        <v>139</v>
      </c>
      <c r="V3" s="43" t="s">
        <v>139</v>
      </c>
      <c r="W3" s="43" t="s">
        <v>139</v>
      </c>
      <c r="Y3" s="44" t="str">
        <f t="shared" ref="Y3:Y65" si="0">CONCATENATE("EXECUTE [dbo].[PG_CI_UNIDAD_OPERATIVA]"," ",A3,", ",B3,", ",C3,", '",D3,"', '",E3,"', '",F3,"', ",G3,", ",H3,", ",I3,", ",J3,", ",K3,", ",L3,", ",M3,", ",N3,", ",O3,", ",P3,", ",Q3,", ",R3,", ",S3,", ",T3,", ",U3,", ",V3,", ",W3)</f>
        <v>EXECUTE [dbo].[PG_CI_UNIDAD_OPERATIVA] 0, 0, 1, 'GUADALUPE', 'GUADALUPE', 'GDLPE', 10, 1, 10, 30, 23, 40, 13, 1030, '', '', '', '', '', '', '', '', ''</v>
      </c>
    </row>
    <row r="4" spans="1:25" ht="14.4" x14ac:dyDescent="0.3">
      <c r="A4" s="24">
        <v>0</v>
      </c>
      <c r="B4" s="24">
        <v>0</v>
      </c>
      <c r="C4" s="25">
        <v>2</v>
      </c>
      <c r="D4" s="26" t="s">
        <v>1</v>
      </c>
      <c r="E4" s="26" t="s">
        <v>1</v>
      </c>
      <c r="F4" s="46" t="s">
        <v>142</v>
      </c>
      <c r="G4" s="28">
        <f t="shared" ref="G4:G67" si="1">C4*10</f>
        <v>20</v>
      </c>
      <c r="H4" s="28">
        <v>1</v>
      </c>
      <c r="I4">
        <v>10</v>
      </c>
      <c r="J4" s="24">
        <v>30</v>
      </c>
      <c r="K4" s="24">
        <v>34</v>
      </c>
      <c r="L4" s="42">
        <v>65</v>
      </c>
      <c r="M4" s="24">
        <v>28</v>
      </c>
      <c r="N4" s="45">
        <v>1030</v>
      </c>
      <c r="O4" s="43" t="s">
        <v>139</v>
      </c>
      <c r="P4" s="43" t="s">
        <v>139</v>
      </c>
      <c r="Q4" s="43" t="s">
        <v>139</v>
      </c>
      <c r="R4" s="43" t="s">
        <v>139</v>
      </c>
      <c r="S4" s="43" t="s">
        <v>139</v>
      </c>
      <c r="T4" s="43" t="s">
        <v>139</v>
      </c>
      <c r="U4" s="43" t="s">
        <v>139</v>
      </c>
      <c r="V4" s="43" t="s">
        <v>139</v>
      </c>
      <c r="W4" s="43" t="s">
        <v>139</v>
      </c>
      <c r="Y4" s="44" t="str">
        <f t="shared" si="0"/>
        <v>EXECUTE [dbo].[PG_CI_UNIDAD_OPERATIVA] 0, 0, 2, 'PARRAL', 'PARRAL', 'PRRAL', 20, 1, 10, 30, 34, 65, 28, 1030, '', '', '', '', '', '', '', '', ''</v>
      </c>
    </row>
    <row r="5" spans="1:25" ht="14.4" x14ac:dyDescent="0.3">
      <c r="A5" s="24">
        <v>0</v>
      </c>
      <c r="B5" s="24">
        <v>0</v>
      </c>
      <c r="C5" s="25">
        <v>3</v>
      </c>
      <c r="D5" s="26" t="s">
        <v>2</v>
      </c>
      <c r="E5" s="26" t="s">
        <v>2</v>
      </c>
      <c r="F5" s="46" t="s">
        <v>143</v>
      </c>
      <c r="G5" s="28">
        <f t="shared" si="1"/>
        <v>30</v>
      </c>
      <c r="H5" s="28">
        <v>1</v>
      </c>
      <c r="I5">
        <v>10</v>
      </c>
      <c r="J5" s="24">
        <v>30</v>
      </c>
      <c r="K5" s="24">
        <v>22</v>
      </c>
      <c r="L5" s="42">
        <v>3</v>
      </c>
      <c r="M5" s="24">
        <v>13</v>
      </c>
      <c r="N5" s="45">
        <v>1030</v>
      </c>
      <c r="O5" s="43" t="s">
        <v>139</v>
      </c>
      <c r="P5" s="43" t="s">
        <v>139</v>
      </c>
      <c r="Q5" s="43" t="s">
        <v>139</v>
      </c>
      <c r="R5" s="43" t="s">
        <v>139</v>
      </c>
      <c r="S5" s="43" t="s">
        <v>139</v>
      </c>
      <c r="T5" s="43" t="s">
        <v>139</v>
      </c>
      <c r="U5" s="43" t="s">
        <v>139</v>
      </c>
      <c r="V5" s="43" t="s">
        <v>139</v>
      </c>
      <c r="W5" s="43" t="s">
        <v>139</v>
      </c>
      <c r="Y5" s="44" t="str">
        <f t="shared" si="0"/>
        <v>EXECUTE [dbo].[PG_CI_UNIDAD_OPERATIVA] 0, 0, 3, 'BIOGAS', 'BIOGAS', 'BIOGS', 30, 1, 10, 30, 22, 3, 13, 1030, '', '', '', '', '', '', '', '', ''</v>
      </c>
    </row>
    <row r="6" spans="1:25" ht="14.4" x14ac:dyDescent="0.3">
      <c r="A6" s="24">
        <v>0</v>
      </c>
      <c r="B6" s="24">
        <v>0</v>
      </c>
      <c r="C6" s="25">
        <v>4</v>
      </c>
      <c r="D6" s="26" t="s">
        <v>3</v>
      </c>
      <c r="E6" s="26" t="s">
        <v>3</v>
      </c>
      <c r="F6" s="46" t="s">
        <v>144</v>
      </c>
      <c r="G6" s="28">
        <f t="shared" si="1"/>
        <v>40</v>
      </c>
      <c r="H6" s="28">
        <v>1</v>
      </c>
      <c r="I6">
        <v>10</v>
      </c>
      <c r="J6" s="24">
        <v>30</v>
      </c>
      <c r="K6" s="24">
        <v>35</v>
      </c>
      <c r="L6" s="42">
        <v>48</v>
      </c>
      <c r="M6" s="24">
        <v>28</v>
      </c>
      <c r="N6" s="45">
        <v>1030</v>
      </c>
      <c r="O6" s="43" t="s">
        <v>139</v>
      </c>
      <c r="P6" s="43" t="s">
        <v>139</v>
      </c>
      <c r="Q6" s="43" t="s">
        <v>139</v>
      </c>
      <c r="R6" s="43" t="s">
        <v>139</v>
      </c>
      <c r="S6" s="43" t="s">
        <v>139</v>
      </c>
      <c r="T6" s="43" t="s">
        <v>139</v>
      </c>
      <c r="U6" s="43" t="s">
        <v>139</v>
      </c>
      <c r="V6" s="43" t="s">
        <v>139</v>
      </c>
      <c r="W6" s="43" t="s">
        <v>139</v>
      </c>
      <c r="Y6" s="44" t="str">
        <f t="shared" si="0"/>
        <v>EXECUTE [dbo].[PG_CI_UNIDAD_OPERATIVA] 0, 0, 4, 'LAS SIERRA', 'LAS SIERRA', 'SIERR', 40, 1, 10, 30, 35, 48, 28, 1030, '', '', '', '', '', '', '', '', ''</v>
      </c>
    </row>
    <row r="7" spans="1:25" ht="14.4" x14ac:dyDescent="0.3">
      <c r="A7" s="24">
        <v>0</v>
      </c>
      <c r="B7" s="24">
        <v>0</v>
      </c>
      <c r="C7" s="25">
        <v>5</v>
      </c>
      <c r="D7" s="26" t="s">
        <v>4</v>
      </c>
      <c r="E7" s="26" t="s">
        <v>4</v>
      </c>
      <c r="F7" s="46" t="s">
        <v>145</v>
      </c>
      <c r="G7" s="28">
        <f t="shared" si="1"/>
        <v>50</v>
      </c>
      <c r="H7" s="28">
        <v>1</v>
      </c>
      <c r="I7">
        <v>10</v>
      </c>
      <c r="J7" s="24">
        <v>30</v>
      </c>
      <c r="K7" s="24">
        <v>28</v>
      </c>
      <c r="L7" s="42">
        <v>64</v>
      </c>
      <c r="M7" s="24">
        <v>12</v>
      </c>
      <c r="N7" s="45">
        <v>1030</v>
      </c>
      <c r="O7" s="43" t="s">
        <v>139</v>
      </c>
      <c r="P7" s="43" t="s">
        <v>139</v>
      </c>
      <c r="Q7" s="43" t="s">
        <v>139</v>
      </c>
      <c r="R7" s="43" t="s">
        <v>139</v>
      </c>
      <c r="S7" s="43" t="s">
        <v>139</v>
      </c>
      <c r="T7" s="43" t="s">
        <v>139</v>
      </c>
      <c r="U7" s="43" t="s">
        <v>139</v>
      </c>
      <c r="V7" s="43" t="s">
        <v>139</v>
      </c>
      <c r="W7" s="43" t="s">
        <v>139</v>
      </c>
      <c r="Y7" s="44" t="str">
        <f t="shared" si="0"/>
        <v>EXECUTE [dbo].[PG_CI_UNIDAD_OPERATIVA] 0, 0, 5, 'PALOMAS', 'PALOMAS', 'PALMS', 50, 1, 10, 30, 28, 64, 12, 1030, '', '', '', '', '', '', '', '', ''</v>
      </c>
    </row>
    <row r="8" spans="1:25" ht="14.4" x14ac:dyDescent="0.3">
      <c r="A8" s="24">
        <v>0</v>
      </c>
      <c r="B8" s="24">
        <v>0</v>
      </c>
      <c r="C8" s="25">
        <v>6</v>
      </c>
      <c r="D8" s="26" t="s">
        <v>5</v>
      </c>
      <c r="E8" s="26" t="s">
        <v>5</v>
      </c>
      <c r="F8" s="46" t="s">
        <v>146</v>
      </c>
      <c r="G8" s="28">
        <f t="shared" si="1"/>
        <v>60</v>
      </c>
      <c r="H8" s="28">
        <v>1</v>
      </c>
      <c r="I8">
        <v>10</v>
      </c>
      <c r="J8" s="24">
        <v>30</v>
      </c>
      <c r="K8" s="24">
        <v>25</v>
      </c>
      <c r="L8" s="42">
        <v>69</v>
      </c>
      <c r="M8" s="24">
        <v>12</v>
      </c>
      <c r="N8" s="45">
        <v>1030</v>
      </c>
      <c r="O8" s="43" t="s">
        <v>139</v>
      </c>
      <c r="P8" s="43" t="s">
        <v>139</v>
      </c>
      <c r="Q8" s="43" t="s">
        <v>139</v>
      </c>
      <c r="R8" s="43" t="s">
        <v>139</v>
      </c>
      <c r="S8" s="43" t="s">
        <v>139</v>
      </c>
      <c r="T8" s="43" t="s">
        <v>139</v>
      </c>
      <c r="U8" s="43" t="s">
        <v>139</v>
      </c>
      <c r="V8" s="43" t="s">
        <v>139</v>
      </c>
      <c r="W8" s="43" t="s">
        <v>139</v>
      </c>
      <c r="Y8" s="44" t="str">
        <f t="shared" si="0"/>
        <v>EXECUTE [dbo].[PG_CI_UNIDAD_OPERATIVA] 0, 0, 6, 'PUEBLO', 'PUEBLO', 'PUBLO', 60, 1, 10, 30, 25, 69, 12, 1030, '', '', '', '', '', '', '', '', ''</v>
      </c>
    </row>
    <row r="9" spans="1:25" ht="14.4" x14ac:dyDescent="0.3">
      <c r="A9" s="24">
        <v>0</v>
      </c>
      <c r="B9" s="24">
        <v>0</v>
      </c>
      <c r="C9" s="25">
        <v>7</v>
      </c>
      <c r="D9" s="26" t="s">
        <v>6</v>
      </c>
      <c r="E9" s="26" t="s">
        <v>6</v>
      </c>
      <c r="F9" s="46" t="s">
        <v>147</v>
      </c>
      <c r="G9" s="28">
        <f t="shared" si="1"/>
        <v>70</v>
      </c>
      <c r="H9" s="28">
        <v>1</v>
      </c>
      <c r="I9">
        <v>10</v>
      </c>
      <c r="J9" s="24">
        <v>30</v>
      </c>
      <c r="K9" s="24">
        <v>30</v>
      </c>
      <c r="L9" s="42">
        <v>45</v>
      </c>
      <c r="M9" s="24">
        <v>28</v>
      </c>
      <c r="N9" s="45">
        <v>1030</v>
      </c>
      <c r="O9" s="43" t="s">
        <v>139</v>
      </c>
      <c r="P9" s="43" t="s">
        <v>139</v>
      </c>
      <c r="Q9" s="43" t="s">
        <v>139</v>
      </c>
      <c r="R9" s="43" t="s">
        <v>139</v>
      </c>
      <c r="S9" s="43" t="s">
        <v>139</v>
      </c>
      <c r="T9" s="43" t="s">
        <v>139</v>
      </c>
      <c r="U9" s="43" t="s">
        <v>139</v>
      </c>
      <c r="V9" s="43" t="s">
        <v>139</v>
      </c>
      <c r="W9" s="43" t="s">
        <v>139</v>
      </c>
      <c r="Y9" s="44" t="str">
        <f t="shared" si="0"/>
        <v>EXECUTE [dbo].[PG_CI_UNIDAD_OPERATIVA] 0, 0, 7, 'HIDRO I', 'HIDRO I', 'HID.1', 70, 1, 10, 30, 30, 45, 28, 1030, '', '', '', '', '', '', '', '', ''</v>
      </c>
    </row>
    <row r="10" spans="1:25" ht="14.4" x14ac:dyDescent="0.3">
      <c r="A10" s="24">
        <v>0</v>
      </c>
      <c r="B10" s="24">
        <v>0</v>
      </c>
      <c r="C10" s="25">
        <v>8</v>
      </c>
      <c r="D10" s="26" t="s">
        <v>7</v>
      </c>
      <c r="E10" s="26" t="s">
        <v>7</v>
      </c>
      <c r="F10" s="46" t="s">
        <v>149</v>
      </c>
      <c r="G10" s="28">
        <f t="shared" si="1"/>
        <v>80</v>
      </c>
      <c r="H10" s="28">
        <v>1</v>
      </c>
      <c r="I10">
        <v>10</v>
      </c>
      <c r="J10" s="24">
        <v>30</v>
      </c>
      <c r="K10" s="24">
        <v>27</v>
      </c>
      <c r="L10" s="42">
        <v>34</v>
      </c>
      <c r="M10" s="24">
        <v>12</v>
      </c>
      <c r="N10" s="45">
        <v>1030</v>
      </c>
      <c r="O10" s="43" t="s">
        <v>139</v>
      </c>
      <c r="P10" s="43" t="s">
        <v>139</v>
      </c>
      <c r="Q10" s="43" t="s">
        <v>139</v>
      </c>
      <c r="R10" s="43" t="s">
        <v>139</v>
      </c>
      <c r="S10" s="43" t="s">
        <v>139</v>
      </c>
      <c r="T10" s="43" t="s">
        <v>139</v>
      </c>
      <c r="U10" s="43" t="s">
        <v>139</v>
      </c>
      <c r="V10" s="43" t="s">
        <v>139</v>
      </c>
      <c r="W10" s="43" t="s">
        <v>139</v>
      </c>
      <c r="Y10" s="44" t="str">
        <f t="shared" si="0"/>
        <v>EXECUTE [dbo].[PG_CI_UNIDAD_OPERATIVA] 0, 0, 8, 'FLORES MAGON', 'FLORES MAGON', 'FMAGN', 80, 1, 10, 30, 27, 34, 12, 1030, '', '', '', '', '', '', '', '', ''</v>
      </c>
    </row>
    <row r="11" spans="1:25" ht="14.4" x14ac:dyDescent="0.3">
      <c r="A11" s="24">
        <v>0</v>
      </c>
      <c r="B11" s="24">
        <v>0</v>
      </c>
      <c r="C11" s="25">
        <v>9</v>
      </c>
      <c r="D11" s="26" t="s">
        <v>8</v>
      </c>
      <c r="E11" s="26" t="s">
        <v>8</v>
      </c>
      <c r="F11" s="46" t="s">
        <v>150</v>
      </c>
      <c r="G11" s="28">
        <f t="shared" si="1"/>
        <v>90</v>
      </c>
      <c r="H11" s="28">
        <v>1</v>
      </c>
      <c r="I11">
        <v>10</v>
      </c>
      <c r="J11" s="24">
        <v>30</v>
      </c>
      <c r="K11" s="24">
        <v>36</v>
      </c>
      <c r="L11" s="42">
        <v>32</v>
      </c>
      <c r="M11" s="24">
        <v>28</v>
      </c>
      <c r="N11" s="45">
        <v>1030</v>
      </c>
      <c r="O11" s="43" t="s">
        <v>139</v>
      </c>
      <c r="P11" s="43" t="s">
        <v>139</v>
      </c>
      <c r="Q11" s="43" t="s">
        <v>139</v>
      </c>
      <c r="R11" s="43" t="s">
        <v>139</v>
      </c>
      <c r="S11" s="43" t="s">
        <v>139</v>
      </c>
      <c r="T11" s="43" t="s">
        <v>139</v>
      </c>
      <c r="U11" s="43" t="s">
        <v>139</v>
      </c>
      <c r="V11" s="43" t="s">
        <v>139</v>
      </c>
      <c r="W11" s="43" t="s">
        <v>139</v>
      </c>
      <c r="Y11" s="44" t="str">
        <f t="shared" si="0"/>
        <v>EXECUTE [dbo].[PG_CI_UNIDAD_OPERATIVA] 0, 0, 9, 'DELICIAS', 'DELICIAS', 'DELCS', 90, 1, 10, 30, 36, 32, 28, 1030, '', '', '', '', '', '', '', '', ''</v>
      </c>
    </row>
    <row r="12" spans="1:25" ht="14.4" x14ac:dyDescent="0.3">
      <c r="A12" s="24">
        <v>0</v>
      </c>
      <c r="B12" s="24">
        <v>0</v>
      </c>
      <c r="C12" s="25">
        <v>10</v>
      </c>
      <c r="D12" s="26" t="s">
        <v>9</v>
      </c>
      <c r="E12" s="26" t="s">
        <v>9</v>
      </c>
      <c r="F12" s="46" t="s">
        <v>152</v>
      </c>
      <c r="G12" s="28">
        <f t="shared" si="1"/>
        <v>100</v>
      </c>
      <c r="H12" s="28">
        <v>1</v>
      </c>
      <c r="I12">
        <v>0</v>
      </c>
      <c r="J12" s="24">
        <v>0</v>
      </c>
      <c r="K12" s="24">
        <v>300</v>
      </c>
      <c r="L12" s="42">
        <v>50</v>
      </c>
      <c r="M12" s="24">
        <v>0</v>
      </c>
      <c r="N12" s="45">
        <v>0</v>
      </c>
      <c r="O12" s="43" t="s">
        <v>139</v>
      </c>
      <c r="P12" s="43" t="s">
        <v>139</v>
      </c>
      <c r="Q12" s="43" t="s">
        <v>139</v>
      </c>
      <c r="R12" s="43" t="s">
        <v>139</v>
      </c>
      <c r="S12" s="43" t="s">
        <v>139</v>
      </c>
      <c r="T12" s="43" t="s">
        <v>139</v>
      </c>
      <c r="U12" s="43" t="s">
        <v>139</v>
      </c>
      <c r="V12" s="43" t="s">
        <v>139</v>
      </c>
      <c r="W12" s="43" t="s">
        <v>139</v>
      </c>
      <c r="Y12" s="44" t="str">
        <f t="shared" si="0"/>
        <v>EXECUTE [dbo].[PG_CI_UNIDAD_OPERATIVA] 0, 0, 10, 'MARKETING', 'MARKETING', 'MKTNG', 100, 1, 0, 0, 300, 50, 0, 0, '', '', '', '', '', '', '', '', ''</v>
      </c>
    </row>
    <row r="13" spans="1:25" ht="14.4" x14ac:dyDescent="0.3">
      <c r="A13" s="24">
        <v>0</v>
      </c>
      <c r="B13" s="24">
        <v>0</v>
      </c>
      <c r="C13" s="25">
        <v>11</v>
      </c>
      <c r="D13" s="26" t="s">
        <v>10</v>
      </c>
      <c r="E13" s="26" t="s">
        <v>10</v>
      </c>
      <c r="F13" s="46" t="s">
        <v>151</v>
      </c>
      <c r="G13" s="28">
        <f t="shared" si="1"/>
        <v>110</v>
      </c>
      <c r="H13" s="28">
        <v>1</v>
      </c>
      <c r="I13">
        <v>10</v>
      </c>
      <c r="J13" s="24">
        <v>30</v>
      </c>
      <c r="K13" s="24">
        <v>26</v>
      </c>
      <c r="L13" s="42">
        <v>17</v>
      </c>
      <c r="M13" s="24">
        <v>12</v>
      </c>
      <c r="N13" s="45">
        <v>1030</v>
      </c>
      <c r="O13" s="43" t="s">
        <v>139</v>
      </c>
      <c r="P13" s="43" t="s">
        <v>139</v>
      </c>
      <c r="Q13" s="43" t="s">
        <v>139</v>
      </c>
      <c r="R13" s="43" t="s">
        <v>139</v>
      </c>
      <c r="S13" s="43" t="s">
        <v>139</v>
      </c>
      <c r="T13" s="43" t="s">
        <v>139</v>
      </c>
      <c r="U13" s="43" t="s">
        <v>139</v>
      </c>
      <c r="V13" s="43" t="s">
        <v>139</v>
      </c>
      <c r="W13" s="43" t="s">
        <v>139</v>
      </c>
      <c r="Y13" s="44" t="str">
        <f t="shared" si="0"/>
        <v>EXECUTE [dbo].[PG_CI_UNIDAD_OPERATIVA] 0, 0, 11, 'ASCENSION', 'ASCENSION', 'ASCNS', 110, 1, 10, 30, 26, 17, 12, 1030, '', '', '', '', '', '', '', '', ''</v>
      </c>
    </row>
    <row r="14" spans="1:25" ht="14.4" x14ac:dyDescent="0.3">
      <c r="A14" s="24">
        <v>0</v>
      </c>
      <c r="B14" s="24">
        <v>0</v>
      </c>
      <c r="C14" s="25">
        <v>12</v>
      </c>
      <c r="D14" s="26" t="s">
        <v>11</v>
      </c>
      <c r="E14" s="26" t="s">
        <v>11</v>
      </c>
      <c r="F14" s="46" t="s">
        <v>153</v>
      </c>
      <c r="G14" s="28">
        <f t="shared" si="1"/>
        <v>120</v>
      </c>
      <c r="H14" s="28">
        <v>1</v>
      </c>
      <c r="I14">
        <v>10</v>
      </c>
      <c r="J14" s="24">
        <v>30</v>
      </c>
      <c r="K14" s="24">
        <v>38</v>
      </c>
      <c r="L14" s="42">
        <v>63</v>
      </c>
      <c r="M14" s="24">
        <v>24</v>
      </c>
      <c r="N14" s="45">
        <v>1030</v>
      </c>
      <c r="O14" s="43" t="s">
        <v>139</v>
      </c>
      <c r="P14" s="43" t="s">
        <v>139</v>
      </c>
      <c r="Q14" s="43" t="s">
        <v>139</v>
      </c>
      <c r="R14" s="43" t="s">
        <v>139</v>
      </c>
      <c r="S14" s="43" t="s">
        <v>139</v>
      </c>
      <c r="T14" s="43" t="s">
        <v>139</v>
      </c>
      <c r="U14" s="43" t="s">
        <v>139</v>
      </c>
      <c r="V14" s="43" t="s">
        <v>139</v>
      </c>
      <c r="W14" s="43" t="s">
        <v>139</v>
      </c>
      <c r="Y14" s="44" t="str">
        <f t="shared" si="0"/>
        <v>EXECUTE [dbo].[PG_CI_UNIDAD_OPERATIVA] 0, 0, 12, 'OJINAGA', 'OJINAGA', 'OJNGA', 120, 1, 10, 30, 38, 63, 24, 1030, '', '', '', '', '', '', '', '', ''</v>
      </c>
    </row>
    <row r="15" spans="1:25" ht="14.4" x14ac:dyDescent="0.3">
      <c r="A15" s="24">
        <v>0</v>
      </c>
      <c r="B15" s="24">
        <v>0</v>
      </c>
      <c r="C15" s="25">
        <v>13</v>
      </c>
      <c r="D15" s="26" t="s">
        <v>12</v>
      </c>
      <c r="E15" s="26" t="s">
        <v>12</v>
      </c>
      <c r="F15" s="46" t="s">
        <v>154</v>
      </c>
      <c r="G15" s="28">
        <f t="shared" si="1"/>
        <v>130</v>
      </c>
      <c r="H15" s="28">
        <v>1</v>
      </c>
      <c r="I15">
        <v>10</v>
      </c>
      <c r="J15" s="29">
        <v>70</v>
      </c>
      <c r="K15" s="24">
        <v>48</v>
      </c>
      <c r="L15" s="42">
        <v>4</v>
      </c>
      <c r="M15" s="24">
        <v>42</v>
      </c>
      <c r="N15" s="45">
        <v>1050</v>
      </c>
      <c r="O15" s="43" t="s">
        <v>139</v>
      </c>
      <c r="P15" s="43" t="s">
        <v>139</v>
      </c>
      <c r="Q15" s="43" t="s">
        <v>139</v>
      </c>
      <c r="R15" s="43" t="s">
        <v>139</v>
      </c>
      <c r="S15" s="43" t="s">
        <v>139</v>
      </c>
      <c r="T15" s="43" t="s">
        <v>139</v>
      </c>
      <c r="U15" s="43" t="s">
        <v>139</v>
      </c>
      <c r="V15" s="43" t="s">
        <v>139</v>
      </c>
      <c r="W15" s="43" t="s">
        <v>139</v>
      </c>
      <c r="Y15" s="44" t="str">
        <f t="shared" si="0"/>
        <v>EXECUTE [dbo].[PG_CI_UNIDAD_OPERATIVA] 0, 0, 13, 'UNIGAS MATRIZ', 'UNIGAS MATRIZ', 'UNISJ', 130, 1, 10, 70, 48, 4, 42, 1050, '', '', '', '', '', '', '', '', ''</v>
      </c>
    </row>
    <row r="16" spans="1:25" ht="14.4" x14ac:dyDescent="0.3">
      <c r="A16" s="24">
        <v>0</v>
      </c>
      <c r="B16" s="24">
        <v>0</v>
      </c>
      <c r="C16" s="25">
        <v>14</v>
      </c>
      <c r="D16" s="26" t="s">
        <v>13</v>
      </c>
      <c r="E16" s="26" t="s">
        <v>13</v>
      </c>
      <c r="F16" s="46" t="s">
        <v>156</v>
      </c>
      <c r="G16" s="28">
        <f t="shared" si="1"/>
        <v>140</v>
      </c>
      <c r="H16" s="28">
        <v>1</v>
      </c>
      <c r="I16">
        <v>10</v>
      </c>
      <c r="J16" s="24">
        <v>30</v>
      </c>
      <c r="K16" s="24">
        <v>33</v>
      </c>
      <c r="L16" s="42">
        <v>20</v>
      </c>
      <c r="M16" s="24">
        <v>28</v>
      </c>
      <c r="N16" s="45">
        <v>1030</v>
      </c>
      <c r="O16" s="43" t="s">
        <v>139</v>
      </c>
      <c r="P16" s="43" t="s">
        <v>139</v>
      </c>
      <c r="Q16" s="43" t="s">
        <v>139</v>
      </c>
      <c r="R16" s="43" t="s">
        <v>139</v>
      </c>
      <c r="S16" s="43" t="s">
        <v>139</v>
      </c>
      <c r="T16" s="43" t="s">
        <v>139</v>
      </c>
      <c r="U16" s="43" t="s">
        <v>139</v>
      </c>
      <c r="V16" s="43" t="s">
        <v>139</v>
      </c>
      <c r="W16" s="43" t="s">
        <v>139</v>
      </c>
      <c r="Y16" s="44" t="str">
        <f t="shared" si="0"/>
        <v>EXECUTE [dbo].[PG_CI_UNIDAD_OPERATIVA] 0, 0, 14, 'BUENAVENTURA', 'BUENAVENTURA', 'BNVTR', 140, 1, 10, 30, 33, 20, 28, 1030, '', '', '', '', '', '', '', '', ''</v>
      </c>
    </row>
    <row r="17" spans="1:25" ht="14.4" x14ac:dyDescent="0.3">
      <c r="A17" s="24">
        <v>0</v>
      </c>
      <c r="B17" s="24">
        <v>0</v>
      </c>
      <c r="C17" s="25">
        <v>15</v>
      </c>
      <c r="D17" s="26" t="s">
        <v>14</v>
      </c>
      <c r="E17" s="26" t="s">
        <v>14</v>
      </c>
      <c r="F17" s="46" t="s">
        <v>155</v>
      </c>
      <c r="G17" s="28">
        <f t="shared" si="1"/>
        <v>150</v>
      </c>
      <c r="H17" s="28">
        <v>1</v>
      </c>
      <c r="I17">
        <v>10</v>
      </c>
      <c r="J17" s="24">
        <v>30</v>
      </c>
      <c r="K17" s="24">
        <v>37</v>
      </c>
      <c r="L17" s="42">
        <v>22</v>
      </c>
      <c r="M17" s="24">
        <v>28</v>
      </c>
      <c r="N17" s="45">
        <v>1030</v>
      </c>
      <c r="O17" s="43" t="s">
        <v>139</v>
      </c>
      <c r="P17" s="43" t="s">
        <v>139</v>
      </c>
      <c r="Q17" s="43" t="s">
        <v>139</v>
      </c>
      <c r="R17" s="43" t="s">
        <v>139</v>
      </c>
      <c r="S17" s="43" t="s">
        <v>139</v>
      </c>
      <c r="T17" s="43" t="s">
        <v>139</v>
      </c>
      <c r="U17" s="43" t="s">
        <v>139</v>
      </c>
      <c r="V17" s="43" t="s">
        <v>139</v>
      </c>
      <c r="W17" s="43" t="s">
        <v>139</v>
      </c>
      <c r="Y17" s="44" t="str">
        <f t="shared" si="0"/>
        <v>EXECUTE [dbo].[PG_CI_UNIDAD_OPERATIVA] 0, 0, 15, 'CAMARGO', 'CAMARGO', 'CAMRG', 150, 1, 10, 30, 37, 22, 28, 1030, '', '', '', '', '', '', '', '', ''</v>
      </c>
    </row>
    <row r="18" spans="1:25" ht="14.4" x14ac:dyDescent="0.3">
      <c r="A18" s="24">
        <v>0</v>
      </c>
      <c r="B18" s="24">
        <v>0</v>
      </c>
      <c r="C18" s="25">
        <v>16</v>
      </c>
      <c r="D18" s="26" t="s">
        <v>15</v>
      </c>
      <c r="E18" s="26" t="s">
        <v>15</v>
      </c>
      <c r="F18" s="46" t="s">
        <v>157</v>
      </c>
      <c r="G18" s="28">
        <f t="shared" si="1"/>
        <v>160</v>
      </c>
      <c r="H18" s="28">
        <v>1</v>
      </c>
      <c r="I18">
        <v>10</v>
      </c>
      <c r="J18" s="24">
        <v>30</v>
      </c>
      <c r="K18" s="24">
        <v>29</v>
      </c>
      <c r="L18" s="42">
        <v>19</v>
      </c>
      <c r="M18" s="24">
        <v>12</v>
      </c>
      <c r="N18" s="45">
        <v>1030</v>
      </c>
      <c r="O18" s="43" t="s">
        <v>139</v>
      </c>
      <c r="P18" s="43" t="s">
        <v>139</v>
      </c>
      <c r="Q18" s="43" t="s">
        <v>139</v>
      </c>
      <c r="R18" s="43" t="s">
        <v>139</v>
      </c>
      <c r="S18" s="43" t="s">
        <v>139</v>
      </c>
      <c r="T18" s="43" t="s">
        <v>139</v>
      </c>
      <c r="U18" s="43" t="s">
        <v>139</v>
      </c>
      <c r="V18" s="43" t="s">
        <v>139</v>
      </c>
      <c r="W18" s="43" t="s">
        <v>139</v>
      </c>
      <c r="Y18" s="44" t="str">
        <f t="shared" si="0"/>
        <v>EXECUTE [dbo].[PG_CI_UNIDAD_OPERATIVA] 0, 0, 16, 'BENITO JUAREZ', 'BENITO JUAREZ', 'BJREZ', 160, 1, 10, 30, 29, 19, 12, 1030, '', '', '', '', '', '', '', '', ''</v>
      </c>
    </row>
    <row r="19" spans="1:25" ht="14.4" x14ac:dyDescent="0.3">
      <c r="A19" s="24">
        <v>0</v>
      </c>
      <c r="B19" s="24">
        <v>0</v>
      </c>
      <c r="C19" s="25">
        <v>17</v>
      </c>
      <c r="D19" s="26" t="s">
        <v>16</v>
      </c>
      <c r="E19" s="26" t="s">
        <v>16</v>
      </c>
      <c r="F19" s="46" t="s">
        <v>148</v>
      </c>
      <c r="G19" s="28">
        <f t="shared" si="1"/>
        <v>170</v>
      </c>
      <c r="H19" s="28">
        <v>1</v>
      </c>
      <c r="I19">
        <v>10</v>
      </c>
      <c r="J19" s="24">
        <v>30</v>
      </c>
      <c r="K19" s="24">
        <v>31</v>
      </c>
      <c r="L19" s="42">
        <v>46</v>
      </c>
      <c r="M19" s="24">
        <v>28</v>
      </c>
      <c r="N19" s="45">
        <v>1030</v>
      </c>
      <c r="O19" s="43" t="s">
        <v>139</v>
      </c>
      <c r="P19" s="43" t="s">
        <v>139</v>
      </c>
      <c r="Q19" s="43" t="s">
        <v>139</v>
      </c>
      <c r="R19" s="43" t="s">
        <v>139</v>
      </c>
      <c r="S19" s="43" t="s">
        <v>139</v>
      </c>
      <c r="T19" s="43" t="s">
        <v>139</v>
      </c>
      <c r="U19" s="43" t="s">
        <v>139</v>
      </c>
      <c r="V19" s="43" t="s">
        <v>139</v>
      </c>
      <c r="W19" s="43" t="s">
        <v>139</v>
      </c>
      <c r="Y19" s="44" t="str">
        <f t="shared" si="0"/>
        <v>EXECUTE [dbo].[PG_CI_UNIDAD_OPERATIVA] 0, 0, 17, 'HIDRO II', 'HIDRO II', 'HID.2', 170, 1, 10, 30, 31, 46, 28, 1030, '', '', '', '', '', '', '', '', ''</v>
      </c>
    </row>
    <row r="20" spans="1:25" ht="14.4" x14ac:dyDescent="0.3">
      <c r="A20" s="24">
        <v>0</v>
      </c>
      <c r="B20" s="24">
        <v>0</v>
      </c>
      <c r="C20" s="25">
        <v>18</v>
      </c>
      <c r="D20" s="26" t="s">
        <v>25</v>
      </c>
      <c r="E20" s="26" t="s">
        <v>25</v>
      </c>
      <c r="F20" s="46" t="s">
        <v>158</v>
      </c>
      <c r="G20" s="28">
        <f t="shared" si="1"/>
        <v>180</v>
      </c>
      <c r="H20" s="28">
        <v>1</v>
      </c>
      <c r="I20">
        <v>10</v>
      </c>
      <c r="J20" s="29">
        <v>70</v>
      </c>
      <c r="K20" s="24">
        <v>53</v>
      </c>
      <c r="L20" s="42">
        <v>6</v>
      </c>
      <c r="M20" s="24">
        <v>11</v>
      </c>
      <c r="N20" s="45">
        <v>1050</v>
      </c>
      <c r="O20" s="43" t="s">
        <v>139</v>
      </c>
      <c r="P20" s="43" t="s">
        <v>139</v>
      </c>
      <c r="Q20" s="43" t="s">
        <v>139</v>
      </c>
      <c r="R20" s="43" t="s">
        <v>139</v>
      </c>
      <c r="S20" s="43" t="s">
        <v>139</v>
      </c>
      <c r="T20" s="43" t="s">
        <v>139</v>
      </c>
      <c r="U20" s="43" t="s">
        <v>139</v>
      </c>
      <c r="V20" s="43" t="s">
        <v>139</v>
      </c>
      <c r="W20" s="43" t="s">
        <v>139</v>
      </c>
      <c r="Y20" s="44" t="str">
        <f t="shared" si="0"/>
        <v>EXECUTE [dbo].[PG_CI_UNIDAD_OPERATIVA] 0, 0, 18, 'GAS CHAPULTEPEC', 'GAS CHAPULTEPEC', 'GCHAP', 180, 1, 10, 70, 53, 6, 11, 1050, '', '', '', '', '', '', '', '', ''</v>
      </c>
    </row>
    <row r="21" spans="1:25" ht="14.4" x14ac:dyDescent="0.3">
      <c r="A21" s="24">
        <v>0</v>
      </c>
      <c r="B21" s="24">
        <v>0</v>
      </c>
      <c r="C21" s="25">
        <v>19</v>
      </c>
      <c r="D21" s="26" t="s">
        <v>26</v>
      </c>
      <c r="E21" s="26" t="s">
        <v>26</v>
      </c>
      <c r="F21" s="45" t="s">
        <v>159</v>
      </c>
      <c r="G21" s="28">
        <f t="shared" si="1"/>
        <v>190</v>
      </c>
      <c r="H21" s="28">
        <v>1</v>
      </c>
      <c r="I21">
        <v>10</v>
      </c>
      <c r="J21" s="24">
        <v>20</v>
      </c>
      <c r="K21" s="24">
        <v>81</v>
      </c>
      <c r="L21" s="42">
        <v>36</v>
      </c>
      <c r="M21" s="24">
        <v>15</v>
      </c>
      <c r="N21" s="45">
        <v>1070</v>
      </c>
      <c r="O21" s="43" t="s">
        <v>139</v>
      </c>
      <c r="P21" s="43" t="s">
        <v>139</v>
      </c>
      <c r="Q21" s="43" t="s">
        <v>139</v>
      </c>
      <c r="R21" s="43" t="s">
        <v>139</v>
      </c>
      <c r="S21" s="43" t="s">
        <v>139</v>
      </c>
      <c r="T21" s="43" t="s">
        <v>139</v>
      </c>
      <c r="U21" s="43" t="s">
        <v>139</v>
      </c>
      <c r="V21" s="43" t="s">
        <v>139</v>
      </c>
      <c r="W21" s="43" t="s">
        <v>139</v>
      </c>
      <c r="Y21" s="44" t="str">
        <f t="shared" si="0"/>
        <v>EXECUTE [dbo].[PG_CI_UNIDAD_OPERATIVA] 0, 0, 19, 'GAS TOMZA DE PUEBLA', 'GAS TOMZA DE PUEBLA', 'GTPUE', 190, 1, 10, 20, 81, 36, 15, 1070, '', '', '', '', '', '', '', '', ''</v>
      </c>
    </row>
    <row r="22" spans="1:25" ht="14.4" x14ac:dyDescent="0.3">
      <c r="A22" s="24">
        <v>0</v>
      </c>
      <c r="B22" s="24">
        <v>0</v>
      </c>
      <c r="C22" s="25">
        <v>20</v>
      </c>
      <c r="D22" s="26" t="s">
        <v>27</v>
      </c>
      <c r="E22" s="26" t="s">
        <v>27</v>
      </c>
      <c r="F22" s="46" t="s">
        <v>160</v>
      </c>
      <c r="G22" s="28">
        <f t="shared" si="1"/>
        <v>200</v>
      </c>
      <c r="H22" s="28">
        <v>1</v>
      </c>
      <c r="I22">
        <v>10</v>
      </c>
      <c r="J22" s="29">
        <v>70</v>
      </c>
      <c r="K22" s="24">
        <v>51</v>
      </c>
      <c r="L22" s="42">
        <v>8</v>
      </c>
      <c r="M22" s="24">
        <v>23</v>
      </c>
      <c r="N22" s="45">
        <v>1050</v>
      </c>
      <c r="O22" s="43" t="s">
        <v>139</v>
      </c>
      <c r="P22" s="43" t="s">
        <v>139</v>
      </c>
      <c r="Q22" s="43" t="s">
        <v>139</v>
      </c>
      <c r="R22" s="43" t="s">
        <v>139</v>
      </c>
      <c r="S22" s="43" t="s">
        <v>139</v>
      </c>
      <c r="T22" s="43" t="s">
        <v>139</v>
      </c>
      <c r="U22" s="43" t="s">
        <v>139</v>
      </c>
      <c r="V22" s="43" t="s">
        <v>139</v>
      </c>
      <c r="W22" s="43" t="s">
        <v>139</v>
      </c>
      <c r="Y22" s="44" t="str">
        <f t="shared" si="0"/>
        <v>EXECUTE [dbo].[PG_CI_UNIDAD_OPERATIVA] 0, 0, 20, 'GAS Y SERVICIO', 'GAS Y SERVICIO', 'GASYS', 200, 1, 10, 70, 51, 8, 23, 1050, '', '', '', '', '', '', '', '', ''</v>
      </c>
    </row>
    <row r="23" spans="1:25" ht="14.4" x14ac:dyDescent="0.3">
      <c r="A23" s="24">
        <v>0</v>
      </c>
      <c r="B23" s="24">
        <v>0</v>
      </c>
      <c r="C23" s="25">
        <v>21</v>
      </c>
      <c r="D23" s="26" t="s">
        <v>28</v>
      </c>
      <c r="E23" s="26" t="s">
        <v>28</v>
      </c>
      <c r="F23" s="46" t="s">
        <v>161</v>
      </c>
      <c r="G23" s="28">
        <f t="shared" si="1"/>
        <v>210</v>
      </c>
      <c r="H23" s="28">
        <v>1</v>
      </c>
      <c r="I23">
        <v>10</v>
      </c>
      <c r="J23" s="29">
        <v>70</v>
      </c>
      <c r="K23" s="24">
        <v>50</v>
      </c>
      <c r="L23" s="42">
        <v>11</v>
      </c>
      <c r="M23" s="24">
        <v>25</v>
      </c>
      <c r="N23" s="45">
        <v>1050</v>
      </c>
      <c r="O23" s="43" t="s">
        <v>139</v>
      </c>
      <c r="P23" s="43" t="s">
        <v>139</v>
      </c>
      <c r="Q23" s="43" t="s">
        <v>139</v>
      </c>
      <c r="R23" s="43" t="s">
        <v>139</v>
      </c>
      <c r="S23" s="43" t="s">
        <v>139</v>
      </c>
      <c r="T23" s="43" t="s">
        <v>139</v>
      </c>
      <c r="U23" s="43" t="s">
        <v>139</v>
      </c>
      <c r="V23" s="43" t="s">
        <v>139</v>
      </c>
      <c r="W23" s="43" t="s">
        <v>139</v>
      </c>
      <c r="Y23" s="44" t="str">
        <f t="shared" si="0"/>
        <v>EXECUTE [dbo].[PG_CI_UNIDAD_OPERATIVA] 0, 0, 21, 'GASOMATICO', 'GASOMATICO', 'GSOMT', 210, 1, 10, 70, 50, 11, 25, 1050, '', '', '', '', '', '', '', '', ''</v>
      </c>
    </row>
    <row r="24" spans="1:25" ht="14.4" x14ac:dyDescent="0.3">
      <c r="A24" s="24">
        <v>0</v>
      </c>
      <c r="B24" s="24">
        <v>0</v>
      </c>
      <c r="C24" s="25">
        <v>22</v>
      </c>
      <c r="D24" s="26" t="s">
        <v>29</v>
      </c>
      <c r="E24" s="26" t="s">
        <v>29</v>
      </c>
      <c r="F24" s="46" t="s">
        <v>163</v>
      </c>
      <c r="G24" s="28">
        <f t="shared" si="1"/>
        <v>220</v>
      </c>
      <c r="H24" s="28">
        <v>1</v>
      </c>
      <c r="I24">
        <v>20</v>
      </c>
      <c r="J24" s="24">
        <v>20</v>
      </c>
      <c r="K24" s="24">
        <v>58</v>
      </c>
      <c r="L24" s="42">
        <v>38</v>
      </c>
      <c r="M24" s="24">
        <v>19</v>
      </c>
      <c r="N24" s="45">
        <v>1160</v>
      </c>
      <c r="O24" s="43" t="s">
        <v>139</v>
      </c>
      <c r="P24" s="43" t="s">
        <v>139</v>
      </c>
      <c r="Q24" s="43" t="s">
        <v>139</v>
      </c>
      <c r="R24" s="43" t="s">
        <v>139</v>
      </c>
      <c r="S24" s="43" t="s">
        <v>139</v>
      </c>
      <c r="T24" s="43" t="s">
        <v>139</v>
      </c>
      <c r="U24" s="43" t="s">
        <v>139</v>
      </c>
      <c r="V24" s="43" t="s">
        <v>139</v>
      </c>
      <c r="W24" s="43" t="s">
        <v>139</v>
      </c>
      <c r="Y24" s="44" t="str">
        <f t="shared" si="0"/>
        <v>EXECUTE [dbo].[PG_CI_UNIDAD_OPERATIVA] 0, 0, 22, 'GTM-TEPEJI', 'GTM-TEPEJI', 'TEPJI', 220, 1, 20, 20, 58, 38, 19, 1160, '', '', '', '', '', '', '', '', ''</v>
      </c>
    </row>
    <row r="25" spans="1:25" ht="14.4" x14ac:dyDescent="0.3">
      <c r="A25" s="24">
        <v>0</v>
      </c>
      <c r="B25" s="24">
        <v>0</v>
      </c>
      <c r="C25" s="25">
        <v>23</v>
      </c>
      <c r="D25" s="26" t="s">
        <v>30</v>
      </c>
      <c r="E25" s="26" t="s">
        <v>30</v>
      </c>
      <c r="F25" s="46" t="s">
        <v>162</v>
      </c>
      <c r="G25" s="28">
        <f t="shared" si="1"/>
        <v>230</v>
      </c>
      <c r="H25" s="28">
        <v>1</v>
      </c>
      <c r="I25">
        <v>10</v>
      </c>
      <c r="J25" s="29">
        <v>70</v>
      </c>
      <c r="K25" s="24">
        <v>52</v>
      </c>
      <c r="L25" s="42">
        <v>13</v>
      </c>
      <c r="M25" s="24">
        <v>6</v>
      </c>
      <c r="N25" s="45">
        <v>1050</v>
      </c>
      <c r="O25" s="43" t="s">
        <v>139</v>
      </c>
      <c r="P25" s="43" t="s">
        <v>139</v>
      </c>
      <c r="Q25" s="43" t="s">
        <v>139</v>
      </c>
      <c r="R25" s="43" t="s">
        <v>139</v>
      </c>
      <c r="S25" s="43" t="s">
        <v>139</v>
      </c>
      <c r="T25" s="43" t="s">
        <v>139</v>
      </c>
      <c r="U25" s="43" t="s">
        <v>139</v>
      </c>
      <c r="V25" s="43" t="s">
        <v>139</v>
      </c>
      <c r="W25" s="43" t="s">
        <v>139</v>
      </c>
      <c r="Y25" s="44" t="str">
        <f t="shared" si="0"/>
        <v>EXECUTE [dbo].[PG_CI_UNIDAD_OPERATIVA] 0, 0, 23, 'MEXICANA DE GAS', 'MEXICANA DE GAS', 'MEXGS', 230, 1, 10, 70, 52, 13, 6, 1050, '', '', '', '', '', '', '', '', ''</v>
      </c>
    </row>
    <row r="26" spans="1:25" ht="14.4" x14ac:dyDescent="0.3">
      <c r="A26" s="24">
        <v>0</v>
      </c>
      <c r="B26" s="24">
        <v>0</v>
      </c>
      <c r="C26" s="25">
        <v>24</v>
      </c>
      <c r="D26" s="26" t="s">
        <v>31</v>
      </c>
      <c r="E26" s="26" t="s">
        <v>31</v>
      </c>
      <c r="F26" s="46" t="s">
        <v>164</v>
      </c>
      <c r="G26" s="28">
        <f t="shared" si="1"/>
        <v>240</v>
      </c>
      <c r="H26" s="28">
        <v>1</v>
      </c>
      <c r="I26">
        <v>10</v>
      </c>
      <c r="J26" s="29">
        <v>70</v>
      </c>
      <c r="K26" s="24">
        <v>49</v>
      </c>
      <c r="L26" s="42">
        <v>14</v>
      </c>
      <c r="M26" s="24">
        <v>42</v>
      </c>
      <c r="N26" s="45">
        <v>1050</v>
      </c>
      <c r="O26" s="43" t="s">
        <v>139</v>
      </c>
      <c r="P26" s="43" t="s">
        <v>139</v>
      </c>
      <c r="Q26" s="43" t="s">
        <v>139</v>
      </c>
      <c r="R26" s="43" t="s">
        <v>139</v>
      </c>
      <c r="S26" s="43" t="s">
        <v>139</v>
      </c>
      <c r="T26" s="43" t="s">
        <v>139</v>
      </c>
      <c r="U26" s="43" t="s">
        <v>139</v>
      </c>
      <c r="V26" s="43" t="s">
        <v>139</v>
      </c>
      <c r="W26" s="43" t="s">
        <v>139</v>
      </c>
      <c r="Y26" s="44" t="str">
        <f t="shared" si="0"/>
        <v>EXECUTE [dbo].[PG_CI_UNIDAD_OPERATIVA] 0, 0, 24, 'UNIGAS TLAHUAC', 'UNIGAS TLAHUAC', 'UNITL', 240, 1, 10, 70, 49, 14, 42, 1050, '', '', '', '', '', '', '', '', ''</v>
      </c>
    </row>
    <row r="27" spans="1:25" ht="14.4" x14ac:dyDescent="0.3">
      <c r="A27" s="24">
        <v>0</v>
      </c>
      <c r="B27" s="24">
        <v>0</v>
      </c>
      <c r="C27" s="25">
        <v>25</v>
      </c>
      <c r="D27" s="26" t="s">
        <v>32</v>
      </c>
      <c r="E27" s="26" t="s">
        <v>32</v>
      </c>
      <c r="F27" s="46" t="s">
        <v>165</v>
      </c>
      <c r="G27" s="28">
        <f t="shared" si="1"/>
        <v>250</v>
      </c>
      <c r="H27" s="28">
        <v>1</v>
      </c>
      <c r="I27">
        <v>10</v>
      </c>
      <c r="J27" s="24">
        <v>20</v>
      </c>
      <c r="K27" s="24">
        <v>80</v>
      </c>
      <c r="L27" s="42">
        <v>10</v>
      </c>
      <c r="M27" s="24">
        <v>42</v>
      </c>
      <c r="N27" s="45">
        <v>1050</v>
      </c>
      <c r="O27" s="43" t="s">
        <v>139</v>
      </c>
      <c r="P27" s="43" t="s">
        <v>139</v>
      </c>
      <c r="Q27" s="43" t="s">
        <v>139</v>
      </c>
      <c r="R27" s="43" t="s">
        <v>139</v>
      </c>
      <c r="S27" s="43" t="s">
        <v>139</v>
      </c>
      <c r="T27" s="43" t="s">
        <v>139</v>
      </c>
      <c r="U27" s="43" t="s">
        <v>139</v>
      </c>
      <c r="V27" s="43" t="s">
        <v>139</v>
      </c>
      <c r="W27" s="43" t="s">
        <v>139</v>
      </c>
      <c r="Y27" s="44" t="str">
        <f t="shared" si="0"/>
        <v>EXECUTE [dbo].[PG_CI_UNIDAD_OPERATIVA] 0, 0, 25, 'UNIGAS TOLUCA', 'UNIGAS TOLUCA', 'UNITO', 250, 1, 10, 20, 80, 10, 42, 1050, '', '', '', '', '', '', '', '', ''</v>
      </c>
    </row>
    <row r="28" spans="1:25" ht="14.4" x14ac:dyDescent="0.3">
      <c r="A28" s="24">
        <v>0</v>
      </c>
      <c r="B28" s="24">
        <v>0</v>
      </c>
      <c r="C28" s="25">
        <v>26</v>
      </c>
      <c r="D28" s="26" t="s">
        <v>33</v>
      </c>
      <c r="E28" s="26" t="s">
        <v>33</v>
      </c>
      <c r="F28" s="46" t="s">
        <v>166</v>
      </c>
      <c r="G28" s="28">
        <f t="shared" si="1"/>
        <v>260</v>
      </c>
      <c r="H28" s="28">
        <v>1</v>
      </c>
      <c r="I28">
        <v>10</v>
      </c>
      <c r="J28" s="24">
        <v>20</v>
      </c>
      <c r="K28" s="24">
        <v>55</v>
      </c>
      <c r="L28" s="42">
        <v>12</v>
      </c>
      <c r="M28" s="24">
        <v>7</v>
      </c>
      <c r="N28" s="45">
        <v>1070</v>
      </c>
      <c r="O28" s="43" t="s">
        <v>139</v>
      </c>
      <c r="P28" s="43" t="s">
        <v>139</v>
      </c>
      <c r="Q28" s="43" t="s">
        <v>139</v>
      </c>
      <c r="R28" s="43" t="s">
        <v>139</v>
      </c>
      <c r="S28" s="43" t="s">
        <v>139</v>
      </c>
      <c r="T28" s="43" t="s">
        <v>139</v>
      </c>
      <c r="U28" s="43" t="s">
        <v>139</v>
      </c>
      <c r="V28" s="43" t="s">
        <v>139</v>
      </c>
      <c r="W28" s="43" t="s">
        <v>139</v>
      </c>
      <c r="Y28" s="44" t="str">
        <f t="shared" si="0"/>
        <v>EXECUTE [dbo].[PG_CI_UNIDAD_OPERATIVA] 0, 0, 26, 'TEHUACAN', 'TEHUACAN', 'TEHCN', 260, 1, 10, 20, 55, 12, 7, 1070, '', '', '', '', '', '', '', '', ''</v>
      </c>
    </row>
    <row r="29" spans="1:25" ht="14.4" x14ac:dyDescent="0.3">
      <c r="A29" s="24">
        <v>0</v>
      </c>
      <c r="B29" s="24">
        <v>0</v>
      </c>
      <c r="C29" s="25">
        <v>27</v>
      </c>
      <c r="D29" s="26" t="s">
        <v>34</v>
      </c>
      <c r="E29" s="26" t="s">
        <v>34</v>
      </c>
      <c r="F29" s="46" t="s">
        <v>113</v>
      </c>
      <c r="G29" s="28">
        <f t="shared" si="1"/>
        <v>270</v>
      </c>
      <c r="H29" s="28">
        <v>1</v>
      </c>
      <c r="I29">
        <v>10</v>
      </c>
      <c r="J29" s="24">
        <v>20</v>
      </c>
      <c r="K29" s="24">
        <v>59</v>
      </c>
      <c r="L29" s="42">
        <v>72</v>
      </c>
      <c r="M29" s="24">
        <v>19</v>
      </c>
      <c r="N29" s="45">
        <v>1140</v>
      </c>
      <c r="O29" s="43" t="s">
        <v>139</v>
      </c>
      <c r="P29" s="43" t="s">
        <v>139</v>
      </c>
      <c r="Q29" s="43" t="s">
        <v>139</v>
      </c>
      <c r="R29" s="43" t="s">
        <v>139</v>
      </c>
      <c r="S29" s="43" t="s">
        <v>139</v>
      </c>
      <c r="T29" s="43" t="s">
        <v>139</v>
      </c>
      <c r="U29" s="43" t="s">
        <v>139</v>
      </c>
      <c r="V29" s="43" t="s">
        <v>139</v>
      </c>
      <c r="W29" s="43" t="s">
        <v>139</v>
      </c>
      <c r="Y29" s="44" t="str">
        <f t="shared" si="0"/>
        <v>EXECUTE [dbo].[PG_CI_UNIDAD_OPERATIVA] 0, 0, 27, 'SAN LUIS POTOSI', 'SAN LUIS POTOSI', 'SLPTS', 270, 1, 10, 20, 59, 72, 19, 1140, '', '', '', '', '', '', '', '', ''</v>
      </c>
    </row>
    <row r="30" spans="1:25" ht="14.4" x14ac:dyDescent="0.3">
      <c r="A30" s="24">
        <v>0</v>
      </c>
      <c r="B30" s="24">
        <v>0</v>
      </c>
      <c r="C30" s="25">
        <v>28</v>
      </c>
      <c r="D30" s="26" t="s">
        <v>35</v>
      </c>
      <c r="E30" s="26" t="s">
        <v>35</v>
      </c>
      <c r="F30" s="46" t="s">
        <v>112</v>
      </c>
      <c r="G30" s="28">
        <f t="shared" si="1"/>
        <v>280</v>
      </c>
      <c r="H30" s="28">
        <v>1</v>
      </c>
      <c r="I30">
        <v>10</v>
      </c>
      <c r="J30" s="24">
        <v>20</v>
      </c>
      <c r="K30" s="24">
        <v>60</v>
      </c>
      <c r="L30" s="42">
        <v>71</v>
      </c>
      <c r="M30" s="24">
        <v>19</v>
      </c>
      <c r="N30" s="45">
        <v>1150</v>
      </c>
      <c r="O30" s="43" t="s">
        <v>139</v>
      </c>
      <c r="P30" s="43" t="s">
        <v>139</v>
      </c>
      <c r="Q30" s="43" t="s">
        <v>139</v>
      </c>
      <c r="R30" s="43" t="s">
        <v>139</v>
      </c>
      <c r="S30" s="43" t="s">
        <v>139</v>
      </c>
      <c r="T30" s="43" t="s">
        <v>139</v>
      </c>
      <c r="U30" s="43" t="s">
        <v>139</v>
      </c>
      <c r="V30" s="43" t="s">
        <v>139</v>
      </c>
      <c r="W30" s="43" t="s">
        <v>139</v>
      </c>
      <c r="Y30" s="44" t="str">
        <f t="shared" si="0"/>
        <v>EXECUTE [dbo].[PG_CI_UNIDAD_OPERATIVA] 0, 0, 28, 'QUERETARO', 'QUERETARO', 'QRTRO', 280, 1, 10, 20, 60, 71, 19, 1150, '', '', '', '', '', '', '', '', ''</v>
      </c>
    </row>
    <row r="31" spans="1:25" ht="14.4" x14ac:dyDescent="0.3">
      <c r="A31" s="24">
        <v>0</v>
      </c>
      <c r="B31" s="24">
        <v>0</v>
      </c>
      <c r="C31" s="25">
        <v>29</v>
      </c>
      <c r="D31" s="26" t="s">
        <v>36</v>
      </c>
      <c r="E31" s="26" t="s">
        <v>36</v>
      </c>
      <c r="F31" s="46" t="s">
        <v>167</v>
      </c>
      <c r="G31" s="28">
        <f t="shared" si="1"/>
        <v>290</v>
      </c>
      <c r="H31" s="28">
        <v>1</v>
      </c>
      <c r="I31">
        <v>10</v>
      </c>
      <c r="J31" s="24">
        <v>20</v>
      </c>
      <c r="K31" s="24">
        <v>56</v>
      </c>
      <c r="L31" s="42">
        <v>37</v>
      </c>
      <c r="M31" s="24">
        <v>21</v>
      </c>
      <c r="N31" s="45">
        <v>1170</v>
      </c>
      <c r="O31" s="43" t="s">
        <v>139</v>
      </c>
      <c r="P31" s="43" t="s">
        <v>139</v>
      </c>
      <c r="Q31" s="43" t="s">
        <v>139</v>
      </c>
      <c r="R31" s="43" t="s">
        <v>139</v>
      </c>
      <c r="S31" s="43" t="s">
        <v>139</v>
      </c>
      <c r="T31" s="43" t="s">
        <v>139</v>
      </c>
      <c r="U31" s="43" t="s">
        <v>139</v>
      </c>
      <c r="V31" s="43" t="s">
        <v>139</v>
      </c>
      <c r="W31" s="43" t="s">
        <v>139</v>
      </c>
      <c r="Y31" s="44" t="str">
        <f t="shared" si="0"/>
        <v>EXECUTE [dbo].[PG_CI_UNIDAD_OPERATIVA] 0, 0, 29, 'GAS URIBE', 'GAS URIBE', 'URIBE', 290, 1, 10, 20, 56, 37, 21, 1170, '', '', '', '', '', '', '', '', ''</v>
      </c>
    </row>
    <row r="32" spans="1:25" ht="14.4" x14ac:dyDescent="0.3">
      <c r="A32" s="24">
        <v>0</v>
      </c>
      <c r="B32" s="24">
        <v>0</v>
      </c>
      <c r="C32" s="25">
        <v>30</v>
      </c>
      <c r="D32" s="26" t="s">
        <v>37</v>
      </c>
      <c r="E32" s="26" t="s">
        <v>37</v>
      </c>
      <c r="F32" s="46" t="s">
        <v>168</v>
      </c>
      <c r="G32" s="28">
        <f t="shared" si="1"/>
        <v>300</v>
      </c>
      <c r="H32" s="28">
        <v>1</v>
      </c>
      <c r="I32">
        <v>10</v>
      </c>
      <c r="J32" s="24">
        <v>40</v>
      </c>
      <c r="K32" s="24">
        <v>39</v>
      </c>
      <c r="L32" s="42">
        <v>85</v>
      </c>
      <c r="M32" s="24">
        <v>10</v>
      </c>
      <c r="N32" s="45">
        <v>1042</v>
      </c>
      <c r="O32" s="43" t="s">
        <v>139</v>
      </c>
      <c r="P32" s="43" t="s">
        <v>139</v>
      </c>
      <c r="Q32" s="43" t="s">
        <v>139</v>
      </c>
      <c r="R32" s="43" t="s">
        <v>139</v>
      </c>
      <c r="S32" s="43" t="s">
        <v>139</v>
      </c>
      <c r="T32" s="43" t="s">
        <v>139</v>
      </c>
      <c r="U32" s="43" t="s">
        <v>139</v>
      </c>
      <c r="V32" s="43" t="s">
        <v>139</v>
      </c>
      <c r="W32" s="43" t="s">
        <v>139</v>
      </c>
      <c r="Y32" s="44" t="str">
        <f t="shared" si="0"/>
        <v>EXECUTE [dbo].[PG_CI_UNIDAD_OPERATIVA] 0, 0, 30, 'ZAPOPAN', 'ZAPOPAN', 'ZAPPN', 300, 1, 10, 40, 39, 85, 10, 1042, '', '', '', '', '', '', '', '', ''</v>
      </c>
    </row>
    <row r="33" spans="1:25" ht="14.4" x14ac:dyDescent="0.3">
      <c r="A33" s="24">
        <v>0</v>
      </c>
      <c r="B33" s="24">
        <v>0</v>
      </c>
      <c r="C33" s="25">
        <v>31</v>
      </c>
      <c r="D33" s="26" t="s">
        <v>38</v>
      </c>
      <c r="E33" s="26" t="s">
        <v>38</v>
      </c>
      <c r="F33" s="46" t="s">
        <v>169</v>
      </c>
      <c r="G33" s="28">
        <f t="shared" si="1"/>
        <v>310</v>
      </c>
      <c r="H33" s="28">
        <v>1</v>
      </c>
      <c r="I33">
        <v>10</v>
      </c>
      <c r="J33" s="24">
        <v>20</v>
      </c>
      <c r="K33" s="24">
        <v>57</v>
      </c>
      <c r="L33" s="42">
        <v>9</v>
      </c>
      <c r="M33" s="24">
        <v>26</v>
      </c>
      <c r="N33" s="45">
        <v>1170</v>
      </c>
      <c r="O33" s="43" t="s">
        <v>139</v>
      </c>
      <c r="P33" s="43" t="s">
        <v>139</v>
      </c>
      <c r="Q33" s="43" t="s">
        <v>139</v>
      </c>
      <c r="R33" s="43" t="s">
        <v>139</v>
      </c>
      <c r="S33" s="43" t="s">
        <v>139</v>
      </c>
      <c r="T33" s="43" t="s">
        <v>139</v>
      </c>
      <c r="U33" s="43" t="s">
        <v>139</v>
      </c>
      <c r="V33" s="43" t="s">
        <v>139</v>
      </c>
      <c r="W33" s="43" t="s">
        <v>139</v>
      </c>
      <c r="Y33" s="44" t="str">
        <f t="shared" si="0"/>
        <v>EXECUTE [dbo].[PG_CI_UNIDAD_OPERATIVA] 0, 0, 31, 'HIDROGAS ACAPULCO', 'HIDROGAS ACAPULCO', 'HGACA', 310, 1, 10, 20, 57, 9, 26, 1170, '', '', '', '', '', '', '', '', ''</v>
      </c>
    </row>
    <row r="34" spans="1:25" ht="14.4" x14ac:dyDescent="0.3">
      <c r="A34" s="24">
        <v>0</v>
      </c>
      <c r="B34" s="24">
        <v>0</v>
      </c>
      <c r="C34" s="25">
        <v>32</v>
      </c>
      <c r="D34" s="26" t="s">
        <v>39</v>
      </c>
      <c r="E34" s="26" t="s">
        <v>39</v>
      </c>
      <c r="F34" s="45" t="s">
        <v>170</v>
      </c>
      <c r="G34" s="28">
        <f t="shared" si="1"/>
        <v>320</v>
      </c>
      <c r="H34" s="28">
        <v>1</v>
      </c>
      <c r="I34">
        <v>10</v>
      </c>
      <c r="J34" s="24">
        <v>20</v>
      </c>
      <c r="K34" s="24">
        <v>105</v>
      </c>
      <c r="L34" s="42">
        <v>56</v>
      </c>
      <c r="M34" s="24">
        <v>91</v>
      </c>
      <c r="N34" s="45">
        <v>1180</v>
      </c>
      <c r="O34" s="43" t="s">
        <v>139</v>
      </c>
      <c r="P34" s="43" t="s">
        <v>139</v>
      </c>
      <c r="Q34" s="43" t="s">
        <v>139</v>
      </c>
      <c r="R34" s="43" t="s">
        <v>139</v>
      </c>
      <c r="S34" s="43" t="s">
        <v>139</v>
      </c>
      <c r="T34" s="43" t="s">
        <v>139</v>
      </c>
      <c r="U34" s="43" t="s">
        <v>139</v>
      </c>
      <c r="V34" s="43" t="s">
        <v>139</v>
      </c>
      <c r="W34" s="43" t="s">
        <v>139</v>
      </c>
      <c r="Y34" s="44" t="str">
        <f t="shared" si="0"/>
        <v>EXECUTE [dbo].[PG_CI_UNIDAD_OPERATIVA] 0, 0, 32, 'MORELOS', 'MORELOS', 'MORLS', 320, 1, 10, 20, 105, 56, 91, 1180, '', '', '', '', '', '', '', '', ''</v>
      </c>
    </row>
    <row r="35" spans="1:25" ht="14.4" x14ac:dyDescent="0.3">
      <c r="A35" s="24">
        <v>0</v>
      </c>
      <c r="B35" s="24">
        <v>0</v>
      </c>
      <c r="C35" s="25">
        <v>33</v>
      </c>
      <c r="D35" s="26" t="s">
        <v>41</v>
      </c>
      <c r="E35" s="26" t="s">
        <v>41</v>
      </c>
      <c r="F35" s="46" t="s">
        <v>171</v>
      </c>
      <c r="G35" s="28">
        <f t="shared" si="1"/>
        <v>330</v>
      </c>
      <c r="H35" s="28">
        <v>1</v>
      </c>
      <c r="I35">
        <v>10</v>
      </c>
      <c r="J35" s="24">
        <v>10</v>
      </c>
      <c r="K35" s="24">
        <v>4</v>
      </c>
      <c r="L35" s="42">
        <v>80</v>
      </c>
      <c r="M35" s="24">
        <v>16</v>
      </c>
      <c r="N35" s="45">
        <v>1010</v>
      </c>
      <c r="O35" s="43" t="s">
        <v>139</v>
      </c>
      <c r="P35" s="43" t="s">
        <v>139</v>
      </c>
      <c r="Q35" s="43" t="s">
        <v>139</v>
      </c>
      <c r="R35" s="43" t="s">
        <v>139</v>
      </c>
      <c r="S35" s="43" t="s">
        <v>139</v>
      </c>
      <c r="T35" s="43" t="s">
        <v>139</v>
      </c>
      <c r="U35" s="43" t="s">
        <v>139</v>
      </c>
      <c r="V35" s="43" t="s">
        <v>139</v>
      </c>
      <c r="W35" s="43" t="s">
        <v>139</v>
      </c>
      <c r="Y35" s="44" t="str">
        <f t="shared" si="0"/>
        <v>EXECUTE [dbo].[PG_CI_UNIDAD_OPERATIVA] 0, 0, 33, 'TIJUANA', 'TIJUANA', 'TIJNA', 330, 1, 10, 10, 4, 80, 16, 1010, '', '', '', '', '', '', '', '', ''</v>
      </c>
    </row>
    <row r="36" spans="1:25" ht="14.4" x14ac:dyDescent="0.3">
      <c r="A36" s="24">
        <v>0</v>
      </c>
      <c r="B36" s="24">
        <v>0</v>
      </c>
      <c r="C36" s="25">
        <v>34</v>
      </c>
      <c r="D36" s="26" t="s">
        <v>42</v>
      </c>
      <c r="E36" s="26" t="s">
        <v>42</v>
      </c>
      <c r="F36" s="46" t="s">
        <v>172</v>
      </c>
      <c r="G36" s="28">
        <f t="shared" si="1"/>
        <v>340</v>
      </c>
      <c r="H36" s="28">
        <v>1</v>
      </c>
      <c r="I36">
        <v>10</v>
      </c>
      <c r="J36" s="24">
        <v>10</v>
      </c>
      <c r="K36" s="24">
        <v>5</v>
      </c>
      <c r="L36" s="42">
        <v>53</v>
      </c>
      <c r="M36" s="24">
        <v>16</v>
      </c>
      <c r="N36" s="45">
        <v>1010</v>
      </c>
      <c r="O36" s="43" t="s">
        <v>139</v>
      </c>
      <c r="P36" s="43" t="s">
        <v>139</v>
      </c>
      <c r="Q36" s="43" t="s">
        <v>139</v>
      </c>
      <c r="R36" s="43" t="s">
        <v>139</v>
      </c>
      <c r="S36" s="43" t="s">
        <v>139</v>
      </c>
      <c r="T36" s="43" t="s">
        <v>139</v>
      </c>
      <c r="U36" s="43" t="s">
        <v>139</v>
      </c>
      <c r="V36" s="43" t="s">
        <v>139</v>
      </c>
      <c r="W36" s="43" t="s">
        <v>139</v>
      </c>
      <c r="Y36" s="44" t="str">
        <f t="shared" si="0"/>
        <v>EXECUTE [dbo].[PG_CI_UNIDAD_OPERATIVA] 0, 0, 34, 'MEXICALI', 'MEXICALI', 'MXCLI', 340, 1, 10, 10, 5, 53, 16, 1010, '', '', '', '', '', '', '', '', ''</v>
      </c>
    </row>
    <row r="37" spans="1:25" ht="14.4" x14ac:dyDescent="0.3">
      <c r="A37" s="24">
        <v>0</v>
      </c>
      <c r="B37" s="24">
        <v>0</v>
      </c>
      <c r="C37" s="25">
        <v>35</v>
      </c>
      <c r="D37" s="26" t="s">
        <v>43</v>
      </c>
      <c r="E37" s="26" t="s">
        <v>43</v>
      </c>
      <c r="F37" s="46" t="s">
        <v>173</v>
      </c>
      <c r="G37" s="28">
        <f t="shared" si="1"/>
        <v>350</v>
      </c>
      <c r="H37" s="28">
        <v>1</v>
      </c>
      <c r="I37">
        <v>10</v>
      </c>
      <c r="J37" s="24">
        <v>10</v>
      </c>
      <c r="K37" s="24">
        <v>6</v>
      </c>
      <c r="L37" s="42">
        <v>33</v>
      </c>
      <c r="M37" s="24">
        <v>16</v>
      </c>
      <c r="N37" s="45">
        <v>1010</v>
      </c>
      <c r="O37" s="43" t="s">
        <v>139</v>
      </c>
      <c r="P37" s="43" t="s">
        <v>139</v>
      </c>
      <c r="Q37" s="43" t="s">
        <v>139</v>
      </c>
      <c r="R37" s="43" t="s">
        <v>139</v>
      </c>
      <c r="S37" s="43" t="s">
        <v>139</v>
      </c>
      <c r="T37" s="43" t="s">
        <v>139</v>
      </c>
      <c r="U37" s="43" t="s">
        <v>139</v>
      </c>
      <c r="V37" s="43" t="s">
        <v>139</v>
      </c>
      <c r="W37" s="43" t="s">
        <v>139</v>
      </c>
      <c r="Y37" s="44" t="str">
        <f t="shared" si="0"/>
        <v>EXECUTE [dbo].[PG_CI_UNIDAD_OPERATIVA] 0, 0, 35, 'ENSENADA', 'ENSENADA', 'ENSND', 350, 1, 10, 10, 6, 33, 16, 1010, '', '', '', '', '', '', '', '', ''</v>
      </c>
    </row>
    <row r="38" spans="1:25" ht="14.4" x14ac:dyDescent="0.3">
      <c r="A38" s="24">
        <v>0</v>
      </c>
      <c r="B38" s="24">
        <v>0</v>
      </c>
      <c r="C38" s="25">
        <v>36</v>
      </c>
      <c r="D38" s="26" t="s">
        <v>44</v>
      </c>
      <c r="E38" s="26" t="s">
        <v>44</v>
      </c>
      <c r="F38" s="46" t="s">
        <v>174</v>
      </c>
      <c r="G38" s="28">
        <f t="shared" si="1"/>
        <v>360</v>
      </c>
      <c r="H38" s="28">
        <v>1</v>
      </c>
      <c r="I38">
        <v>10</v>
      </c>
      <c r="J38" s="24">
        <v>50</v>
      </c>
      <c r="K38" s="24">
        <v>7</v>
      </c>
      <c r="L38" s="42">
        <v>43</v>
      </c>
      <c r="M38" s="24">
        <v>36</v>
      </c>
      <c r="N38" s="45">
        <v>1022</v>
      </c>
      <c r="O38" s="43" t="s">
        <v>139</v>
      </c>
      <c r="P38" s="43" t="s">
        <v>139</v>
      </c>
      <c r="Q38" s="43" t="s">
        <v>139</v>
      </c>
      <c r="R38" s="43" t="s">
        <v>139</v>
      </c>
      <c r="S38" s="43" t="s">
        <v>139</v>
      </c>
      <c r="T38" s="43" t="s">
        <v>139</v>
      </c>
      <c r="U38" s="43" t="s">
        <v>139</v>
      </c>
      <c r="V38" s="43" t="s">
        <v>139</v>
      </c>
      <c r="W38" s="43" t="s">
        <v>139</v>
      </c>
      <c r="Y38" s="44" t="str">
        <f t="shared" si="0"/>
        <v>EXECUTE [dbo].[PG_CI_UNIDAD_OPERATIVA] 0, 0, 36, 'HERMOSILLO', 'HERMOSILLO', 'HILLO', 360, 1, 10, 50, 7, 43, 36, 1022, '', '', '', '', '', '', '', '', ''</v>
      </c>
    </row>
    <row r="39" spans="1:25" ht="14.4" x14ac:dyDescent="0.3">
      <c r="A39" s="24">
        <v>0</v>
      </c>
      <c r="B39" s="24">
        <v>0</v>
      </c>
      <c r="C39" s="25">
        <v>37</v>
      </c>
      <c r="D39" s="26" t="s">
        <v>45</v>
      </c>
      <c r="E39" s="26" t="s">
        <v>45</v>
      </c>
      <c r="F39" s="46" t="s">
        <v>176</v>
      </c>
      <c r="G39" s="28">
        <f t="shared" si="1"/>
        <v>370</v>
      </c>
      <c r="H39" s="28">
        <v>1</v>
      </c>
      <c r="I39">
        <v>10</v>
      </c>
      <c r="J39" s="24">
        <v>50</v>
      </c>
      <c r="K39" s="24">
        <v>8</v>
      </c>
      <c r="L39" s="42">
        <v>82</v>
      </c>
      <c r="M39" s="24">
        <v>36</v>
      </c>
      <c r="N39" s="45">
        <v>1022</v>
      </c>
      <c r="O39" s="43" t="s">
        <v>139</v>
      </c>
      <c r="P39" s="43" t="s">
        <v>139</v>
      </c>
      <c r="Q39" s="43" t="s">
        <v>139</v>
      </c>
      <c r="R39" s="43" t="s">
        <v>139</v>
      </c>
      <c r="S39" s="43" t="s">
        <v>139</v>
      </c>
      <c r="T39" s="43" t="s">
        <v>139</v>
      </c>
      <c r="U39" s="43" t="s">
        <v>139</v>
      </c>
      <c r="V39" s="43" t="s">
        <v>139</v>
      </c>
      <c r="W39" s="43" t="s">
        <v>139</v>
      </c>
      <c r="Y39" s="44" t="str">
        <f t="shared" si="0"/>
        <v>EXECUTE [dbo].[PG_CI_UNIDAD_OPERATIVA] 0, 0, 37, 'URES', 'URES', 'URES_', 370, 1, 10, 50, 8, 82, 36, 1022, '', '', '', '', '', '', '', '', ''</v>
      </c>
    </row>
    <row r="40" spans="1:25" ht="14.4" x14ac:dyDescent="0.3">
      <c r="A40" s="24">
        <v>0</v>
      </c>
      <c r="B40" s="24">
        <v>0</v>
      </c>
      <c r="C40" s="25">
        <v>38</v>
      </c>
      <c r="D40" s="26" t="s">
        <v>46</v>
      </c>
      <c r="E40" s="26" t="s">
        <v>46</v>
      </c>
      <c r="F40" s="46" t="s">
        <v>175</v>
      </c>
      <c r="G40" s="28">
        <f t="shared" si="1"/>
        <v>380</v>
      </c>
      <c r="H40" s="28">
        <v>1</v>
      </c>
      <c r="I40">
        <v>10</v>
      </c>
      <c r="J40" s="24">
        <v>50</v>
      </c>
      <c r="K40" s="24">
        <v>9</v>
      </c>
      <c r="L40" s="42">
        <v>15</v>
      </c>
      <c r="M40" s="24">
        <v>36</v>
      </c>
      <c r="N40" s="45">
        <v>1021</v>
      </c>
      <c r="O40" s="43" t="s">
        <v>139</v>
      </c>
      <c r="P40" s="43" t="s">
        <v>139</v>
      </c>
      <c r="Q40" s="43" t="s">
        <v>139</v>
      </c>
      <c r="R40" s="43" t="s">
        <v>139</v>
      </c>
      <c r="S40" s="43" t="s">
        <v>139</v>
      </c>
      <c r="T40" s="43" t="s">
        <v>139</v>
      </c>
      <c r="U40" s="43" t="s">
        <v>139</v>
      </c>
      <c r="V40" s="43" t="s">
        <v>139</v>
      </c>
      <c r="W40" s="43" t="s">
        <v>139</v>
      </c>
      <c r="Y40" s="44" t="str">
        <f t="shared" si="0"/>
        <v>EXECUTE [dbo].[PG_CI_UNIDAD_OPERATIVA] 0, 0, 38, 'AGUAPRIETA', 'AGUAPRIETA', 'AGPRT', 380, 1, 10, 50, 9, 15, 36, 1021, '', '', '', '', '', '', '', '', ''</v>
      </c>
    </row>
    <row r="41" spans="1:25" ht="14.4" x14ac:dyDescent="0.3">
      <c r="A41" s="24">
        <v>0</v>
      </c>
      <c r="B41" s="24">
        <v>0</v>
      </c>
      <c r="C41" s="25">
        <v>39</v>
      </c>
      <c r="D41" s="26" t="s">
        <v>47</v>
      </c>
      <c r="E41" s="26" t="s">
        <v>47</v>
      </c>
      <c r="F41" s="46" t="s">
        <v>177</v>
      </c>
      <c r="G41" s="28">
        <f t="shared" si="1"/>
        <v>390</v>
      </c>
      <c r="H41" s="28">
        <v>1</v>
      </c>
      <c r="I41">
        <v>10</v>
      </c>
      <c r="J41" s="24">
        <v>50</v>
      </c>
      <c r="K41" s="24">
        <v>10</v>
      </c>
      <c r="L41" s="42">
        <v>24</v>
      </c>
      <c r="M41" s="24">
        <v>36</v>
      </c>
      <c r="N41" s="45">
        <v>1021</v>
      </c>
      <c r="O41" s="43" t="s">
        <v>139</v>
      </c>
      <c r="P41" s="43" t="s">
        <v>139</v>
      </c>
      <c r="Q41" s="43" t="s">
        <v>139</v>
      </c>
      <c r="R41" s="43" t="s">
        <v>139</v>
      </c>
      <c r="S41" s="43" t="s">
        <v>139</v>
      </c>
      <c r="T41" s="43" t="s">
        <v>139</v>
      </c>
      <c r="U41" s="43" t="s">
        <v>139</v>
      </c>
      <c r="V41" s="43" t="s">
        <v>139</v>
      </c>
      <c r="W41" s="43" t="s">
        <v>139</v>
      </c>
      <c r="Y41" s="44" t="str">
        <f t="shared" si="0"/>
        <v>EXECUTE [dbo].[PG_CI_UNIDAD_OPERATIVA] 0, 0, 39, 'CANANEA', 'CANANEA', 'CANNE', 390, 1, 10, 50, 10, 24, 36, 1021, '', '', '', '', '', '', '', '', ''</v>
      </c>
    </row>
    <row r="42" spans="1:25" ht="14.4" x14ac:dyDescent="0.3">
      <c r="A42" s="24">
        <v>0</v>
      </c>
      <c r="B42" s="24">
        <v>0</v>
      </c>
      <c r="C42" s="25">
        <v>40</v>
      </c>
      <c r="D42" s="26" t="s">
        <v>48</v>
      </c>
      <c r="E42" s="26" t="s">
        <v>48</v>
      </c>
      <c r="F42" s="46" t="s">
        <v>180</v>
      </c>
      <c r="G42" s="28">
        <f t="shared" si="1"/>
        <v>400</v>
      </c>
      <c r="H42" s="28">
        <v>1</v>
      </c>
      <c r="I42">
        <v>10</v>
      </c>
      <c r="J42" s="24">
        <v>50</v>
      </c>
      <c r="K42" s="24">
        <v>11</v>
      </c>
      <c r="L42" s="42">
        <v>57</v>
      </c>
      <c r="M42" s="24">
        <v>36</v>
      </c>
      <c r="N42" s="45">
        <v>1021</v>
      </c>
      <c r="O42" s="43" t="s">
        <v>139</v>
      </c>
      <c r="P42" s="43" t="s">
        <v>139</v>
      </c>
      <c r="Q42" s="43" t="s">
        <v>139</v>
      </c>
      <c r="R42" s="43" t="s">
        <v>139</v>
      </c>
      <c r="S42" s="43" t="s">
        <v>139</v>
      </c>
      <c r="T42" s="43" t="s">
        <v>139</v>
      </c>
      <c r="U42" s="43" t="s">
        <v>139</v>
      </c>
      <c r="V42" s="43" t="s">
        <v>139</v>
      </c>
      <c r="W42" s="43" t="s">
        <v>139</v>
      </c>
      <c r="Y42" s="44" t="str">
        <f t="shared" si="0"/>
        <v>EXECUTE [dbo].[PG_CI_UNIDAD_OPERATIVA] 0, 0, 40, 'NACO', 'NACO', 'NACO_', 400, 1, 10, 50, 11, 57, 36, 1021, '', '', '', '', '', '', '', '', ''</v>
      </c>
    </row>
    <row r="43" spans="1:25" ht="14.4" x14ac:dyDescent="0.3">
      <c r="A43" s="24">
        <v>0</v>
      </c>
      <c r="B43" s="24">
        <v>0</v>
      </c>
      <c r="C43" s="25">
        <v>41</v>
      </c>
      <c r="D43" s="26" t="s">
        <v>49</v>
      </c>
      <c r="E43" s="26" t="s">
        <v>49</v>
      </c>
      <c r="F43" s="46" t="s">
        <v>178</v>
      </c>
      <c r="G43" s="28">
        <f t="shared" si="1"/>
        <v>410</v>
      </c>
      <c r="H43" s="28">
        <v>1</v>
      </c>
      <c r="I43">
        <v>10</v>
      </c>
      <c r="J43" s="24">
        <v>50</v>
      </c>
      <c r="K43" s="24">
        <v>12</v>
      </c>
      <c r="L43" s="42">
        <v>58</v>
      </c>
      <c r="M43" s="24">
        <v>36</v>
      </c>
      <c r="N43" s="45">
        <v>1021</v>
      </c>
      <c r="O43" s="43" t="s">
        <v>139</v>
      </c>
      <c r="P43" s="43" t="s">
        <v>139</v>
      </c>
      <c r="Q43" s="43" t="s">
        <v>139</v>
      </c>
      <c r="R43" s="43" t="s">
        <v>139</v>
      </c>
      <c r="S43" s="43" t="s">
        <v>139</v>
      </c>
      <c r="T43" s="43" t="s">
        <v>139</v>
      </c>
      <c r="U43" s="43" t="s">
        <v>139</v>
      </c>
      <c r="V43" s="43" t="s">
        <v>139</v>
      </c>
      <c r="W43" s="43" t="s">
        <v>139</v>
      </c>
      <c r="Y43" s="44" t="str">
        <f t="shared" si="0"/>
        <v>EXECUTE [dbo].[PG_CI_UNIDAD_OPERATIVA] 0, 0, 41, 'NACOZARI', 'NACOZARI', 'NACZA', 410, 1, 10, 50, 12, 58, 36, 1021, '', '', '', '', '', '', '', '', ''</v>
      </c>
    </row>
    <row r="44" spans="1:25" ht="14.4" x14ac:dyDescent="0.3">
      <c r="A44" s="24">
        <v>0</v>
      </c>
      <c r="B44" s="24">
        <v>0</v>
      </c>
      <c r="C44" s="25">
        <v>42</v>
      </c>
      <c r="D44" s="26" t="s">
        <v>50</v>
      </c>
      <c r="E44" s="26" t="s">
        <v>50</v>
      </c>
      <c r="F44" s="46" t="s">
        <v>179</v>
      </c>
      <c r="G44" s="28">
        <f t="shared" si="1"/>
        <v>420</v>
      </c>
      <c r="H44" s="28">
        <v>1</v>
      </c>
      <c r="I44">
        <v>10</v>
      </c>
      <c r="J44" s="24">
        <v>50</v>
      </c>
      <c r="K44" s="24">
        <v>13</v>
      </c>
      <c r="L44" s="42">
        <v>60</v>
      </c>
      <c r="M44" s="24">
        <v>36</v>
      </c>
      <c r="N44" s="45">
        <v>1021</v>
      </c>
      <c r="O44" s="43" t="s">
        <v>139</v>
      </c>
      <c r="P44" s="43" t="s">
        <v>139</v>
      </c>
      <c r="Q44" s="43" t="s">
        <v>139</v>
      </c>
      <c r="R44" s="43" t="s">
        <v>139</v>
      </c>
      <c r="S44" s="43" t="s">
        <v>139</v>
      </c>
      <c r="T44" s="43" t="s">
        <v>139</v>
      </c>
      <c r="U44" s="43" t="s">
        <v>139</v>
      </c>
      <c r="V44" s="43" t="s">
        <v>139</v>
      </c>
      <c r="W44" s="43" t="s">
        <v>139</v>
      </c>
      <c r="Y44" s="44" t="str">
        <f t="shared" si="0"/>
        <v>EXECUTE [dbo].[PG_CI_UNIDAD_OPERATIVA] 0, 0, 42, 'NOGALES', 'NOGALES', 'NOGLS', 420, 1, 10, 50, 13, 60, 36, 1021, '', '', '', '', '', '', '', '', ''</v>
      </c>
    </row>
    <row r="45" spans="1:25" ht="14.4" x14ac:dyDescent="0.3">
      <c r="A45" s="24">
        <v>0</v>
      </c>
      <c r="B45" s="24">
        <v>0</v>
      </c>
      <c r="C45" s="25">
        <v>43</v>
      </c>
      <c r="D45" s="26" t="s">
        <v>51</v>
      </c>
      <c r="E45" s="26" t="s">
        <v>51</v>
      </c>
      <c r="F45" s="46" t="s">
        <v>181</v>
      </c>
      <c r="G45" s="28">
        <f t="shared" si="1"/>
        <v>430</v>
      </c>
      <c r="H45" s="28">
        <v>1</v>
      </c>
      <c r="I45">
        <v>10</v>
      </c>
      <c r="J45" s="24">
        <v>50</v>
      </c>
      <c r="K45" s="24">
        <v>14</v>
      </c>
      <c r="L45" s="42">
        <v>75</v>
      </c>
      <c r="M45" s="24">
        <v>36</v>
      </c>
      <c r="N45" s="45">
        <v>1022</v>
      </c>
      <c r="O45" s="43" t="s">
        <v>139</v>
      </c>
      <c r="P45" s="43" t="s">
        <v>139</v>
      </c>
      <c r="Q45" s="43" t="s">
        <v>139</v>
      </c>
      <c r="R45" s="43" t="s">
        <v>139</v>
      </c>
      <c r="S45" s="43" t="s">
        <v>139</v>
      </c>
      <c r="T45" s="43" t="s">
        <v>139</v>
      </c>
      <c r="U45" s="43" t="s">
        <v>139</v>
      </c>
      <c r="V45" s="43" t="s">
        <v>139</v>
      </c>
      <c r="W45" s="43" t="s">
        <v>139</v>
      </c>
      <c r="Y45" s="44" t="str">
        <f t="shared" si="0"/>
        <v>EXECUTE [dbo].[PG_CI_UNIDAD_OPERATIVA] 0, 0, 43, 'SANTA ANA', 'SANTA ANA', 'STANA', 430, 1, 10, 50, 14, 75, 36, 1022, '', '', '', '', '', '', '', '', ''</v>
      </c>
    </row>
    <row r="46" spans="1:25" ht="14.4" x14ac:dyDescent="0.3">
      <c r="A46" s="24">
        <v>0</v>
      </c>
      <c r="B46" s="24">
        <v>0</v>
      </c>
      <c r="C46" s="25">
        <v>44</v>
      </c>
      <c r="D46" s="26" t="s">
        <v>52</v>
      </c>
      <c r="E46" s="26" t="s">
        <v>52</v>
      </c>
      <c r="F46" s="46" t="s">
        <v>183</v>
      </c>
      <c r="G46" s="28">
        <f t="shared" si="1"/>
        <v>440</v>
      </c>
      <c r="H46" s="28">
        <v>1</v>
      </c>
      <c r="I46">
        <v>10</v>
      </c>
      <c r="J46" s="24">
        <v>50</v>
      </c>
      <c r="K46" s="24">
        <v>15</v>
      </c>
      <c r="L46" s="42">
        <v>21</v>
      </c>
      <c r="M46" s="24">
        <v>36</v>
      </c>
      <c r="N46" s="45">
        <v>1021</v>
      </c>
      <c r="O46" s="43" t="s">
        <v>139</v>
      </c>
      <c r="P46" s="43" t="s">
        <v>139</v>
      </c>
      <c r="Q46" s="43" t="s">
        <v>139</v>
      </c>
      <c r="R46" s="43" t="s">
        <v>139</v>
      </c>
      <c r="S46" s="43" t="s">
        <v>139</v>
      </c>
      <c r="T46" s="43" t="s">
        <v>139</v>
      </c>
      <c r="U46" s="43" t="s">
        <v>139</v>
      </c>
      <c r="V46" s="43" t="s">
        <v>139</v>
      </c>
      <c r="W46" s="43" t="s">
        <v>139</v>
      </c>
      <c r="Y46" s="44" t="str">
        <f t="shared" si="0"/>
        <v>EXECUTE [dbo].[PG_CI_UNIDAD_OPERATIVA] 0, 0, 44, 'CABORCA', 'CABORCA', 'CBRCA', 440, 1, 10, 50, 15, 21, 36, 1021, '', '', '', '', '', '', '', '', ''</v>
      </c>
    </row>
    <row r="47" spans="1:25" ht="14.4" x14ac:dyDescent="0.3">
      <c r="A47" s="24">
        <v>0</v>
      </c>
      <c r="B47" s="24">
        <v>0</v>
      </c>
      <c r="C47" s="25">
        <v>45</v>
      </c>
      <c r="D47" s="26" t="s">
        <v>53</v>
      </c>
      <c r="E47" s="26" t="s">
        <v>53</v>
      </c>
      <c r="F47" s="46" t="s">
        <v>182</v>
      </c>
      <c r="G47" s="28">
        <f t="shared" si="1"/>
        <v>450</v>
      </c>
      <c r="H47" s="28">
        <v>1</v>
      </c>
      <c r="I47">
        <v>10</v>
      </c>
      <c r="J47" s="24">
        <v>50</v>
      </c>
      <c r="K47" s="24">
        <v>16</v>
      </c>
      <c r="L47" s="42">
        <v>70</v>
      </c>
      <c r="M47" s="24">
        <v>36</v>
      </c>
      <c r="N47" s="45">
        <v>1021</v>
      </c>
      <c r="O47" s="43" t="s">
        <v>139</v>
      </c>
      <c r="P47" s="43" t="s">
        <v>139</v>
      </c>
      <c r="Q47" s="43" t="s">
        <v>139</v>
      </c>
      <c r="R47" s="43" t="s">
        <v>139</v>
      </c>
      <c r="S47" s="43" t="s">
        <v>139</v>
      </c>
      <c r="T47" s="43" t="s">
        <v>139</v>
      </c>
      <c r="U47" s="43" t="s">
        <v>139</v>
      </c>
      <c r="V47" s="43" t="s">
        <v>139</v>
      </c>
      <c r="W47" s="43" t="s">
        <v>139</v>
      </c>
      <c r="Y47" s="44" t="str">
        <f t="shared" si="0"/>
        <v>EXECUTE [dbo].[PG_CI_UNIDAD_OPERATIVA] 0, 0, 45, 'PUERTO PEÑASCO', 'PUERTO PEÑASCO', 'PEÑSC', 450, 1, 10, 50, 16, 70, 36, 1021, '', '', '', '', '', '', '', '', ''</v>
      </c>
    </row>
    <row r="48" spans="1:25" ht="14.4" x14ac:dyDescent="0.3">
      <c r="A48" s="24">
        <v>0</v>
      </c>
      <c r="B48" s="24">
        <v>0</v>
      </c>
      <c r="C48" s="25">
        <v>46</v>
      </c>
      <c r="D48" s="26" t="s">
        <v>54</v>
      </c>
      <c r="E48" s="26" t="s">
        <v>54</v>
      </c>
      <c r="F48" s="46" t="s">
        <v>184</v>
      </c>
      <c r="G48" s="28">
        <f t="shared" si="1"/>
        <v>460</v>
      </c>
      <c r="H48" s="28">
        <v>1</v>
      </c>
      <c r="I48">
        <v>10</v>
      </c>
      <c r="J48" s="24">
        <v>50</v>
      </c>
      <c r="K48" s="24">
        <v>17</v>
      </c>
      <c r="L48" s="42">
        <v>42</v>
      </c>
      <c r="M48" s="24">
        <v>36</v>
      </c>
      <c r="N48" s="45">
        <v>1023</v>
      </c>
      <c r="O48" s="43" t="s">
        <v>139</v>
      </c>
      <c r="P48" s="43" t="s">
        <v>139</v>
      </c>
      <c r="Q48" s="43" t="s">
        <v>139</v>
      </c>
      <c r="R48" s="43" t="s">
        <v>139</v>
      </c>
      <c r="S48" s="43" t="s">
        <v>139</v>
      </c>
      <c r="T48" s="43" t="s">
        <v>139</v>
      </c>
      <c r="U48" s="43" t="s">
        <v>139</v>
      </c>
      <c r="V48" s="43" t="s">
        <v>139</v>
      </c>
      <c r="W48" s="43" t="s">
        <v>139</v>
      </c>
      <c r="Y48" s="44" t="str">
        <f t="shared" si="0"/>
        <v>EXECUTE [dbo].[PG_CI_UNIDAD_OPERATIVA] 0, 0, 46, 'GUAYMAS', 'GUAYMAS', 'GUAYM', 460, 1, 10, 50, 17, 42, 36, 1023, '', '', '', '', '', '', '', '', ''</v>
      </c>
    </row>
    <row r="49" spans="1:25" ht="14.4" x14ac:dyDescent="0.3">
      <c r="A49" s="24">
        <v>0</v>
      </c>
      <c r="B49" s="24">
        <v>0</v>
      </c>
      <c r="C49" s="25">
        <v>47</v>
      </c>
      <c r="D49" s="26" t="s">
        <v>55</v>
      </c>
      <c r="E49" s="26" t="s">
        <v>55</v>
      </c>
      <c r="F49" s="46" t="s">
        <v>185</v>
      </c>
      <c r="G49" s="28">
        <f t="shared" si="1"/>
        <v>470</v>
      </c>
      <c r="H49" s="28">
        <v>1</v>
      </c>
      <c r="I49">
        <v>10</v>
      </c>
      <c r="J49" s="24">
        <v>50</v>
      </c>
      <c r="K49" s="24">
        <v>18</v>
      </c>
      <c r="L49" s="42">
        <v>61</v>
      </c>
      <c r="M49" s="24">
        <v>36</v>
      </c>
      <c r="N49" s="45">
        <v>1023</v>
      </c>
      <c r="O49" s="43" t="s">
        <v>139</v>
      </c>
      <c r="P49" s="43" t="s">
        <v>139</v>
      </c>
      <c r="Q49" s="43" t="s">
        <v>139</v>
      </c>
      <c r="R49" s="43" t="s">
        <v>139</v>
      </c>
      <c r="S49" s="43" t="s">
        <v>139</v>
      </c>
      <c r="T49" s="43" t="s">
        <v>139</v>
      </c>
      <c r="U49" s="43" t="s">
        <v>139</v>
      </c>
      <c r="V49" s="43" t="s">
        <v>139</v>
      </c>
      <c r="W49" s="43" t="s">
        <v>139</v>
      </c>
      <c r="Y49" s="44" t="str">
        <f t="shared" si="0"/>
        <v>EXECUTE [dbo].[PG_CI_UNIDAD_OPERATIVA] 0, 0, 47, 'OBREGON', 'OBREGON', 'OBRGN', 470, 1, 10, 50, 18, 61, 36, 1023, '', '', '', '', '', '', '', '', ''</v>
      </c>
    </row>
    <row r="50" spans="1:25" ht="14.4" x14ac:dyDescent="0.3">
      <c r="A50" s="24">
        <v>0</v>
      </c>
      <c r="B50" s="24">
        <v>0</v>
      </c>
      <c r="C50" s="25">
        <v>48</v>
      </c>
      <c r="D50" s="26" t="s">
        <v>56</v>
      </c>
      <c r="E50" s="26" t="s">
        <v>56</v>
      </c>
      <c r="F50" s="46" t="s">
        <v>186</v>
      </c>
      <c r="G50" s="28">
        <f t="shared" si="1"/>
        <v>480</v>
      </c>
      <c r="H50" s="28">
        <v>1</v>
      </c>
      <c r="I50">
        <v>10</v>
      </c>
      <c r="J50" s="24">
        <v>50</v>
      </c>
      <c r="K50" s="24">
        <v>19</v>
      </c>
      <c r="L50" s="42">
        <v>59</v>
      </c>
      <c r="M50" s="24">
        <v>36</v>
      </c>
      <c r="N50" s="45">
        <v>1023</v>
      </c>
      <c r="O50" s="43" t="s">
        <v>139</v>
      </c>
      <c r="P50" s="43" t="s">
        <v>139</v>
      </c>
      <c r="Q50" s="43" t="s">
        <v>139</v>
      </c>
      <c r="R50" s="43" t="s">
        <v>139</v>
      </c>
      <c r="S50" s="43" t="s">
        <v>139</v>
      </c>
      <c r="T50" s="43" t="s">
        <v>139</v>
      </c>
      <c r="U50" s="43" t="s">
        <v>139</v>
      </c>
      <c r="V50" s="43" t="s">
        <v>139</v>
      </c>
      <c r="W50" s="43" t="s">
        <v>139</v>
      </c>
      <c r="Y50" s="44" t="str">
        <f t="shared" si="0"/>
        <v>EXECUTE [dbo].[PG_CI_UNIDAD_OPERATIVA] 0, 0, 48, 'NAVOJOA', 'NAVOJOA', 'NAVOJ', 480, 1, 10, 50, 19, 59, 36, 1023, '', '', '', '', '', '', '', '', ''</v>
      </c>
    </row>
    <row r="51" spans="1:25" ht="14.4" x14ac:dyDescent="0.3">
      <c r="A51" s="24">
        <v>0</v>
      </c>
      <c r="B51" s="24">
        <v>0</v>
      </c>
      <c r="C51" s="25">
        <v>49</v>
      </c>
      <c r="D51" s="26" t="s">
        <v>57</v>
      </c>
      <c r="E51" s="26" t="s">
        <v>57</v>
      </c>
      <c r="F51" s="46" t="s">
        <v>187</v>
      </c>
      <c r="G51" s="28">
        <f t="shared" si="1"/>
        <v>490</v>
      </c>
      <c r="H51" s="28">
        <v>1</v>
      </c>
      <c r="I51">
        <v>10</v>
      </c>
      <c r="J51" s="24">
        <v>50</v>
      </c>
      <c r="K51" s="24">
        <v>20</v>
      </c>
      <c r="L51" s="42">
        <v>73</v>
      </c>
      <c r="M51" s="24">
        <v>36</v>
      </c>
      <c r="N51" s="45">
        <v>1021</v>
      </c>
      <c r="O51" s="43" t="s">
        <v>139</v>
      </c>
      <c r="P51" s="43" t="s">
        <v>139</v>
      </c>
      <c r="Q51" s="43" t="s">
        <v>139</v>
      </c>
      <c r="R51" s="43" t="s">
        <v>139</v>
      </c>
      <c r="S51" s="43" t="s">
        <v>139</v>
      </c>
      <c r="T51" s="43" t="s">
        <v>139</v>
      </c>
      <c r="U51" s="43" t="s">
        <v>139</v>
      </c>
      <c r="V51" s="43" t="s">
        <v>139</v>
      </c>
      <c r="W51" s="43" t="s">
        <v>139</v>
      </c>
      <c r="Y51" s="44" t="str">
        <f t="shared" si="0"/>
        <v>EXECUTE [dbo].[PG_CI_UNIDAD_OPERATIVA] 0, 0, 49, 'SAN LUIS RIO COLORADO', 'SAN LUIS RIO COLORADO', 'SNLRC', 490, 1, 10, 50, 20, 73, 36, 1021, '', '', '', '', '', '', '', '', ''</v>
      </c>
    </row>
    <row r="52" spans="1:25" ht="14.4" x14ac:dyDescent="0.3">
      <c r="A52" s="24">
        <v>0</v>
      </c>
      <c r="B52" s="24">
        <v>0</v>
      </c>
      <c r="C52" s="25">
        <v>50</v>
      </c>
      <c r="D52" s="26" t="s">
        <v>58</v>
      </c>
      <c r="E52" s="26" t="s">
        <v>58</v>
      </c>
      <c r="F52" s="46" t="s">
        <v>188</v>
      </c>
      <c r="G52" s="28">
        <f t="shared" si="1"/>
        <v>500</v>
      </c>
      <c r="H52" s="28">
        <v>1</v>
      </c>
      <c r="I52">
        <v>10</v>
      </c>
      <c r="J52" s="24">
        <v>50</v>
      </c>
      <c r="K52" s="24">
        <v>21</v>
      </c>
      <c r="L52" s="42">
        <v>35</v>
      </c>
      <c r="M52" s="24">
        <v>36</v>
      </c>
      <c r="N52" s="45">
        <v>1023</v>
      </c>
      <c r="O52" s="43" t="s">
        <v>139</v>
      </c>
      <c r="P52" s="43" t="s">
        <v>139</v>
      </c>
      <c r="Q52" s="43" t="s">
        <v>139</v>
      </c>
      <c r="R52" s="43" t="s">
        <v>139</v>
      </c>
      <c r="S52" s="43" t="s">
        <v>139</v>
      </c>
      <c r="T52" s="43" t="s">
        <v>139</v>
      </c>
      <c r="U52" s="43" t="s">
        <v>139</v>
      </c>
      <c r="V52" s="43" t="s">
        <v>139</v>
      </c>
      <c r="W52" s="43" t="s">
        <v>139</v>
      </c>
      <c r="Y52" s="44" t="str">
        <f t="shared" si="0"/>
        <v>EXECUTE [dbo].[PG_CI_UNIDAD_OPERATIVA] 0, 0, 50, 'FUNDICION', 'FUNDICION', 'FNDCN', 500, 1, 10, 50, 21, 35, 36, 1023, '', '', '', '', '', '', '', '', ''</v>
      </c>
    </row>
    <row r="53" spans="1:25" ht="14.4" x14ac:dyDescent="0.3">
      <c r="A53" s="24">
        <v>0</v>
      </c>
      <c r="B53" s="24">
        <v>0</v>
      </c>
      <c r="C53" s="25">
        <v>51</v>
      </c>
      <c r="D53" s="26" t="s">
        <v>59</v>
      </c>
      <c r="E53" s="26" t="s">
        <v>59</v>
      </c>
      <c r="F53" s="46" t="s">
        <v>189</v>
      </c>
      <c r="G53" s="28">
        <f t="shared" si="1"/>
        <v>510</v>
      </c>
      <c r="H53" s="28">
        <v>1</v>
      </c>
      <c r="I53">
        <v>10</v>
      </c>
      <c r="J53" s="24">
        <v>40</v>
      </c>
      <c r="K53" s="24">
        <v>40</v>
      </c>
      <c r="L53" s="42">
        <v>47</v>
      </c>
      <c r="M53" s="24">
        <v>10</v>
      </c>
      <c r="N53" s="45">
        <v>1042</v>
      </c>
      <c r="O53" s="43" t="s">
        <v>139</v>
      </c>
      <c r="P53" s="43" t="s">
        <v>139</v>
      </c>
      <c r="Q53" s="43" t="s">
        <v>139</v>
      </c>
      <c r="R53" s="43" t="s">
        <v>139</v>
      </c>
      <c r="S53" s="43" t="s">
        <v>139</v>
      </c>
      <c r="T53" s="43" t="s">
        <v>139</v>
      </c>
      <c r="U53" s="43" t="s">
        <v>139</v>
      </c>
      <c r="V53" s="43" t="s">
        <v>139</v>
      </c>
      <c r="W53" s="43" t="s">
        <v>139</v>
      </c>
      <c r="Y53" s="44" t="str">
        <f t="shared" si="0"/>
        <v>EXECUTE [dbo].[PG_CI_UNIDAD_OPERATIVA] 0, 0, 51, 'LA LAJA', 'LA LAJA', 'LALJA', 510, 1, 10, 40, 40, 47, 10, 1042, '', '', '', '', '', '', '', '', ''</v>
      </c>
    </row>
    <row r="54" spans="1:25" ht="14.4" x14ac:dyDescent="0.3">
      <c r="A54" s="24">
        <v>0</v>
      </c>
      <c r="B54" s="24">
        <v>0</v>
      </c>
      <c r="C54" s="25">
        <v>52</v>
      </c>
      <c r="D54" s="26" t="s">
        <v>60</v>
      </c>
      <c r="E54" s="26" t="s">
        <v>60</v>
      </c>
      <c r="F54" s="46" t="s">
        <v>190</v>
      </c>
      <c r="G54" s="28">
        <f t="shared" si="1"/>
        <v>520</v>
      </c>
      <c r="H54" s="28">
        <v>1</v>
      </c>
      <c r="I54">
        <v>10</v>
      </c>
      <c r="J54" s="24">
        <v>40</v>
      </c>
      <c r="K54" s="24">
        <v>42</v>
      </c>
      <c r="L54" s="42">
        <v>81</v>
      </c>
      <c r="M54" s="24">
        <v>10</v>
      </c>
      <c r="N54" s="45">
        <v>1042</v>
      </c>
      <c r="O54" s="43" t="s">
        <v>139</v>
      </c>
      <c r="P54" s="43" t="s">
        <v>139</v>
      </c>
      <c r="Q54" s="43" t="s">
        <v>139</v>
      </c>
      <c r="R54" s="43" t="s">
        <v>139</v>
      </c>
      <c r="S54" s="43" t="s">
        <v>139</v>
      </c>
      <c r="T54" s="43" t="s">
        <v>139</v>
      </c>
      <c r="U54" s="43" t="s">
        <v>139</v>
      </c>
      <c r="V54" s="43" t="s">
        <v>139</v>
      </c>
      <c r="W54" s="43" t="s">
        <v>139</v>
      </c>
      <c r="Y54" s="44" t="str">
        <f t="shared" si="0"/>
        <v>EXECUTE [dbo].[PG_CI_UNIDAD_OPERATIVA] 0, 0, 52, 'TLAJOMULCO', 'TLAJOMULCO', 'TLAJO', 520, 1, 10, 40, 42, 81, 10, 1042, '', '', '', '', '', '', '', '', ''</v>
      </c>
    </row>
    <row r="55" spans="1:25" ht="14.4" x14ac:dyDescent="0.3">
      <c r="A55" s="24">
        <v>0</v>
      </c>
      <c r="B55" s="24">
        <v>0</v>
      </c>
      <c r="C55" s="25">
        <v>53</v>
      </c>
      <c r="D55" s="26" t="s">
        <v>61</v>
      </c>
      <c r="E55" s="26" t="s">
        <v>61</v>
      </c>
      <c r="F55" s="46" t="s">
        <v>191</v>
      </c>
      <c r="G55" s="28">
        <f t="shared" si="1"/>
        <v>530</v>
      </c>
      <c r="H55" s="28">
        <v>1</v>
      </c>
      <c r="I55">
        <v>10</v>
      </c>
      <c r="J55" s="24">
        <v>40</v>
      </c>
      <c r="K55" s="24">
        <v>43</v>
      </c>
      <c r="L55" s="42">
        <v>76</v>
      </c>
      <c r="M55" s="24">
        <v>10</v>
      </c>
      <c r="N55" s="45">
        <v>1041</v>
      </c>
      <c r="O55" s="43" t="s">
        <v>139</v>
      </c>
      <c r="P55" s="43" t="s">
        <v>139</v>
      </c>
      <c r="Q55" s="43" t="s">
        <v>139</v>
      </c>
      <c r="R55" s="43" t="s">
        <v>139</v>
      </c>
      <c r="S55" s="43" t="s">
        <v>139</v>
      </c>
      <c r="T55" s="43" t="s">
        <v>139</v>
      </c>
      <c r="U55" s="43" t="s">
        <v>139</v>
      </c>
      <c r="V55" s="43" t="s">
        <v>139</v>
      </c>
      <c r="W55" s="43" t="s">
        <v>139</v>
      </c>
      <c r="Y55" s="44" t="str">
        <f t="shared" si="0"/>
        <v>EXECUTE [dbo].[PG_CI_UNIDAD_OPERATIVA] 0, 0, 53, 'TEPATITLAN', 'TEPATITLAN', 'TEPAT', 530, 1, 10, 40, 43, 76, 10, 1041, '', '', '', '', '', '', '', '', ''</v>
      </c>
    </row>
    <row r="56" spans="1:25" ht="14.4" x14ac:dyDescent="0.3">
      <c r="A56" s="24">
        <v>0</v>
      </c>
      <c r="B56" s="24">
        <v>0</v>
      </c>
      <c r="C56" s="25">
        <v>54</v>
      </c>
      <c r="D56" s="26" t="s">
        <v>62</v>
      </c>
      <c r="E56" s="26" t="s">
        <v>62</v>
      </c>
      <c r="F56" s="46" t="s">
        <v>192</v>
      </c>
      <c r="G56" s="28">
        <f t="shared" si="1"/>
        <v>540</v>
      </c>
      <c r="H56" s="28">
        <v>1</v>
      </c>
      <c r="I56">
        <v>10</v>
      </c>
      <c r="J56" s="24">
        <v>40</v>
      </c>
      <c r="K56" s="24">
        <v>44</v>
      </c>
      <c r="L56" s="42">
        <v>62</v>
      </c>
      <c r="M56" s="24">
        <v>10</v>
      </c>
      <c r="N56" s="45">
        <v>1042</v>
      </c>
      <c r="O56" s="43" t="s">
        <v>139</v>
      </c>
      <c r="P56" s="43" t="s">
        <v>139</v>
      </c>
      <c r="Q56" s="43" t="s">
        <v>139</v>
      </c>
      <c r="R56" s="43" t="s">
        <v>139</v>
      </c>
      <c r="S56" s="43" t="s">
        <v>139</v>
      </c>
      <c r="T56" s="43" t="s">
        <v>139</v>
      </c>
      <c r="U56" s="43" t="s">
        <v>139</v>
      </c>
      <c r="V56" s="43" t="s">
        <v>139</v>
      </c>
      <c r="W56" s="43" t="s">
        <v>139</v>
      </c>
      <c r="Y56" s="44" t="str">
        <f t="shared" si="0"/>
        <v>EXECUTE [dbo].[PG_CI_UNIDAD_OPERATIVA] 0, 0, 54, 'OCOTLAN', 'OCOTLAN', 'OCOTL', 540, 1, 10, 40, 44, 62, 10, 1042, '', '', '', '', '', '', '', '', ''</v>
      </c>
    </row>
    <row r="57" spans="1:25" ht="14.4" x14ac:dyDescent="0.3">
      <c r="A57" s="24">
        <v>0</v>
      </c>
      <c r="B57" s="24">
        <v>0</v>
      </c>
      <c r="C57" s="25">
        <v>55</v>
      </c>
      <c r="D57" s="26" t="s">
        <v>63</v>
      </c>
      <c r="E57" s="26" t="s">
        <v>63</v>
      </c>
      <c r="F57" s="46" t="s">
        <v>193</v>
      </c>
      <c r="G57" s="28">
        <f t="shared" si="1"/>
        <v>550</v>
      </c>
      <c r="H57" s="28">
        <v>1</v>
      </c>
      <c r="I57">
        <v>10</v>
      </c>
      <c r="J57" s="24">
        <v>40</v>
      </c>
      <c r="K57" s="24">
        <v>45</v>
      </c>
      <c r="L57" s="42">
        <v>84</v>
      </c>
      <c r="M57" s="24">
        <v>10</v>
      </c>
      <c r="N57" s="45">
        <v>1041</v>
      </c>
      <c r="O57" s="43" t="s">
        <v>139</v>
      </c>
      <c r="P57" s="43" t="s">
        <v>139</v>
      </c>
      <c r="Q57" s="43" t="s">
        <v>139</v>
      </c>
      <c r="R57" s="43" t="s">
        <v>139</v>
      </c>
      <c r="S57" s="43" t="s">
        <v>139</v>
      </c>
      <c r="T57" s="43" t="s">
        <v>139</v>
      </c>
      <c r="U57" s="43" t="s">
        <v>139</v>
      </c>
      <c r="V57" s="43" t="s">
        <v>139</v>
      </c>
      <c r="W57" s="43" t="s">
        <v>139</v>
      </c>
      <c r="Y57" s="44" t="str">
        <f t="shared" si="0"/>
        <v>EXECUTE [dbo].[PG_CI_UNIDAD_OPERATIVA] 0, 0, 55, 'YAHUALICA', 'YAHUALICA', 'YAHUA', 550, 1, 10, 40, 45, 84, 10, 1041, '', '', '', '', '', '', '', '', ''</v>
      </c>
    </row>
    <row r="58" spans="1:25" ht="14.4" x14ac:dyDescent="0.3">
      <c r="A58" s="24">
        <v>0</v>
      </c>
      <c r="B58" s="24">
        <v>0</v>
      </c>
      <c r="C58" s="25">
        <v>56</v>
      </c>
      <c r="D58" s="26" t="s">
        <v>64</v>
      </c>
      <c r="E58" s="26" t="s">
        <v>64</v>
      </c>
      <c r="F58" s="46" t="s">
        <v>194</v>
      </c>
      <c r="G58" s="28">
        <f t="shared" si="1"/>
        <v>560</v>
      </c>
      <c r="H58" s="28">
        <v>1</v>
      </c>
      <c r="I58">
        <v>10</v>
      </c>
      <c r="J58" s="24">
        <v>40</v>
      </c>
      <c r="K58" s="24">
        <v>46</v>
      </c>
      <c r="L58" s="42">
        <v>27</v>
      </c>
      <c r="M58" s="24">
        <v>49</v>
      </c>
      <c r="N58" s="45">
        <v>1043</v>
      </c>
      <c r="O58" s="43" t="s">
        <v>139</v>
      </c>
      <c r="P58" s="43" t="s">
        <v>139</v>
      </c>
      <c r="Q58" s="43" t="s">
        <v>139</v>
      </c>
      <c r="R58" s="43" t="s">
        <v>139</v>
      </c>
      <c r="S58" s="43" t="s">
        <v>139</v>
      </c>
      <c r="T58" s="43" t="s">
        <v>139</v>
      </c>
      <c r="U58" s="43" t="s">
        <v>139</v>
      </c>
      <c r="V58" s="43" t="s">
        <v>139</v>
      </c>
      <c r="W58" s="43" t="s">
        <v>139</v>
      </c>
      <c r="Y58" s="44" t="str">
        <f t="shared" si="0"/>
        <v>EXECUTE [dbo].[PG_CI_UNIDAD_OPERATIVA] 0, 0, 56, 'CD. GUZMAN', 'CD. GUZMAN', 'CDGZM', 560, 1, 10, 40, 46, 27, 49, 1043, '', '', '', '', '', '', '', '', ''</v>
      </c>
    </row>
    <row r="59" spans="1:25" ht="14.4" x14ac:dyDescent="0.3">
      <c r="A59" s="24">
        <v>0</v>
      </c>
      <c r="B59" s="24">
        <v>0</v>
      </c>
      <c r="C59" s="25">
        <v>57</v>
      </c>
      <c r="D59" s="26" t="s">
        <v>65</v>
      </c>
      <c r="E59" s="26" t="s">
        <v>65</v>
      </c>
      <c r="F59" s="46" t="s">
        <v>195</v>
      </c>
      <c r="G59" s="28">
        <f t="shared" si="1"/>
        <v>570</v>
      </c>
      <c r="H59" s="28">
        <v>1</v>
      </c>
      <c r="I59">
        <v>10</v>
      </c>
      <c r="J59" s="24">
        <v>40</v>
      </c>
      <c r="K59" s="24">
        <v>47</v>
      </c>
      <c r="L59" s="42">
        <v>18</v>
      </c>
      <c r="M59" s="24">
        <v>49</v>
      </c>
      <c r="N59" s="45">
        <v>1043</v>
      </c>
      <c r="O59" s="43" t="s">
        <v>139</v>
      </c>
      <c r="P59" s="43" t="s">
        <v>139</v>
      </c>
      <c r="Q59" s="43" t="s">
        <v>139</v>
      </c>
      <c r="R59" s="43" t="s">
        <v>139</v>
      </c>
      <c r="S59" s="43" t="s">
        <v>139</v>
      </c>
      <c r="T59" s="43" t="s">
        <v>139</v>
      </c>
      <c r="U59" s="43" t="s">
        <v>139</v>
      </c>
      <c r="V59" s="43" t="s">
        <v>139</v>
      </c>
      <c r="W59" s="43" t="s">
        <v>139</v>
      </c>
      <c r="Y59" s="44" t="str">
        <f t="shared" si="0"/>
        <v>EXECUTE [dbo].[PG_CI_UNIDAD_OPERATIVA] 0, 0, 57, 'AUTLAN', 'AUTLAN', 'AUTLN', 570, 1, 10, 40, 47, 18, 49, 1043, '', '', '', '', '', '', '', '', ''</v>
      </c>
    </row>
    <row r="60" spans="1:25" ht="14.4" x14ac:dyDescent="0.3">
      <c r="A60" s="24">
        <v>0</v>
      </c>
      <c r="B60" s="24">
        <v>0</v>
      </c>
      <c r="C60" s="25">
        <v>58</v>
      </c>
      <c r="D60" s="26" t="s">
        <v>66</v>
      </c>
      <c r="E60" s="26" t="s">
        <v>66</v>
      </c>
      <c r="F60" s="46" t="s">
        <v>196</v>
      </c>
      <c r="G60" s="28">
        <f t="shared" si="1"/>
        <v>580</v>
      </c>
      <c r="H60" s="28">
        <v>1</v>
      </c>
      <c r="I60">
        <v>10</v>
      </c>
      <c r="J60" s="24">
        <v>20</v>
      </c>
      <c r="K60" s="24">
        <v>54</v>
      </c>
      <c r="L60" s="42">
        <v>36</v>
      </c>
      <c r="M60" s="24">
        <v>15</v>
      </c>
      <c r="N60" s="45">
        <v>1070</v>
      </c>
      <c r="O60" s="43" t="s">
        <v>139</v>
      </c>
      <c r="P60" s="43" t="s">
        <v>139</v>
      </c>
      <c r="Q60" s="43" t="s">
        <v>139</v>
      </c>
      <c r="R60" s="43" t="s">
        <v>139</v>
      </c>
      <c r="S60" s="43" t="s">
        <v>139</v>
      </c>
      <c r="T60" s="43" t="s">
        <v>139</v>
      </c>
      <c r="U60" s="43" t="s">
        <v>139</v>
      </c>
      <c r="V60" s="43" t="s">
        <v>139</v>
      </c>
      <c r="W60" s="43" t="s">
        <v>139</v>
      </c>
      <c r="Y60" s="44" t="str">
        <f t="shared" si="0"/>
        <v>EXECUTE [dbo].[PG_CI_UNIDAD_OPERATIVA] 0, 0, 58, 'GAS PRONTO', 'GAS PRONTO', 'GSPTO', 580, 1, 10, 20, 54, 36, 15, 1070, '', '', '', '', '', '', '', '', ''</v>
      </c>
    </row>
    <row r="61" spans="1:25" ht="14.4" x14ac:dyDescent="0.3">
      <c r="A61" s="24">
        <v>0</v>
      </c>
      <c r="B61" s="24">
        <v>0</v>
      </c>
      <c r="C61" s="25">
        <v>59</v>
      </c>
      <c r="D61" s="26" t="s">
        <v>67</v>
      </c>
      <c r="E61" s="26" t="s">
        <v>67</v>
      </c>
      <c r="F61" s="46" t="s">
        <v>108</v>
      </c>
      <c r="G61" s="28">
        <f t="shared" si="1"/>
        <v>590</v>
      </c>
      <c r="H61" s="28">
        <v>1</v>
      </c>
      <c r="I61">
        <v>10</v>
      </c>
      <c r="J61" s="24">
        <v>60</v>
      </c>
      <c r="K61" s="24">
        <v>61</v>
      </c>
      <c r="L61" s="42">
        <v>25</v>
      </c>
      <c r="M61" s="24">
        <v>47</v>
      </c>
      <c r="N61" s="45">
        <v>1090</v>
      </c>
      <c r="O61" s="43" t="s">
        <v>139</v>
      </c>
      <c r="P61" s="43" t="s">
        <v>139</v>
      </c>
      <c r="Q61" s="43" t="s">
        <v>139</v>
      </c>
      <c r="R61" s="43" t="s">
        <v>139</v>
      </c>
      <c r="S61" s="43" t="s">
        <v>139</v>
      </c>
      <c r="T61" s="43" t="s">
        <v>139</v>
      </c>
      <c r="U61" s="43" t="s">
        <v>139</v>
      </c>
      <c r="V61" s="43" t="s">
        <v>139</v>
      </c>
      <c r="W61" s="43" t="s">
        <v>139</v>
      </c>
      <c r="Y61" s="44" t="str">
        <f t="shared" si="0"/>
        <v>EXECUTE [dbo].[PG_CI_UNIDAD_OPERATIVA] 0, 0, 59, 'CANCUN', 'CANCUN', 'CNCUN', 590, 1, 10, 60, 61, 25, 47, 1090, '', '', '', '', '', '', '', '', ''</v>
      </c>
    </row>
    <row r="62" spans="1:25" ht="14.4" x14ac:dyDescent="0.3">
      <c r="A62" s="24">
        <v>0</v>
      </c>
      <c r="B62" s="24">
        <v>0</v>
      </c>
      <c r="C62" s="25">
        <v>60</v>
      </c>
      <c r="D62" s="26" t="s">
        <v>68</v>
      </c>
      <c r="E62" s="26" t="s">
        <v>68</v>
      </c>
      <c r="F62" s="46" t="s">
        <v>110</v>
      </c>
      <c r="G62" s="28">
        <f t="shared" si="1"/>
        <v>600</v>
      </c>
      <c r="H62" s="28">
        <v>1</v>
      </c>
      <c r="I62">
        <v>10</v>
      </c>
      <c r="J62" s="24">
        <v>60</v>
      </c>
      <c r="K62" s="24">
        <v>62</v>
      </c>
      <c r="L62" s="42">
        <v>29</v>
      </c>
      <c r="M62" s="24">
        <v>47</v>
      </c>
      <c r="N62" s="45">
        <v>1090</v>
      </c>
      <c r="O62" s="43" t="s">
        <v>139</v>
      </c>
      <c r="P62" s="43" t="s">
        <v>139</v>
      </c>
      <c r="Q62" s="43" t="s">
        <v>139</v>
      </c>
      <c r="R62" s="43" t="s">
        <v>139</v>
      </c>
      <c r="S62" s="43" t="s">
        <v>139</v>
      </c>
      <c r="T62" s="43" t="s">
        <v>139</v>
      </c>
      <c r="U62" s="43" t="s">
        <v>139</v>
      </c>
      <c r="V62" s="43" t="s">
        <v>139</v>
      </c>
      <c r="W62" s="43" t="s">
        <v>139</v>
      </c>
      <c r="Y62" s="44" t="str">
        <f t="shared" si="0"/>
        <v>EXECUTE [dbo].[PG_CI_UNIDAD_OPERATIVA] 0, 0, 60, 'COZUMEL', 'COZUMEL', 'CZMEL', 600, 1, 10, 60, 62, 29, 47, 1090, '', '', '', '', '', '', '', '', ''</v>
      </c>
    </row>
    <row r="63" spans="1:25" ht="14.4" x14ac:dyDescent="0.3">
      <c r="A63" s="24">
        <v>0</v>
      </c>
      <c r="B63" s="24">
        <v>0</v>
      </c>
      <c r="C63" s="25">
        <v>61</v>
      </c>
      <c r="D63" s="26" t="s">
        <v>69</v>
      </c>
      <c r="E63" s="26" t="s">
        <v>69</v>
      </c>
      <c r="F63" s="46" t="s">
        <v>109</v>
      </c>
      <c r="G63" s="28">
        <f t="shared" si="1"/>
        <v>610</v>
      </c>
      <c r="H63" s="28">
        <v>1</v>
      </c>
      <c r="I63">
        <v>10</v>
      </c>
      <c r="J63" s="24">
        <v>60</v>
      </c>
      <c r="K63" s="24">
        <v>63</v>
      </c>
      <c r="L63" s="42">
        <v>28</v>
      </c>
      <c r="M63" s="24">
        <v>47</v>
      </c>
      <c r="N63" s="45">
        <v>1090</v>
      </c>
      <c r="O63" s="43" t="s">
        <v>139</v>
      </c>
      <c r="P63" s="43" t="s">
        <v>139</v>
      </c>
      <c r="Q63" s="43" t="s">
        <v>139</v>
      </c>
      <c r="R63" s="43" t="s">
        <v>139</v>
      </c>
      <c r="S63" s="43" t="s">
        <v>139</v>
      </c>
      <c r="T63" s="43" t="s">
        <v>139</v>
      </c>
      <c r="U63" s="43" t="s">
        <v>139</v>
      </c>
      <c r="V63" s="43" t="s">
        <v>139</v>
      </c>
      <c r="W63" s="43" t="s">
        <v>139</v>
      </c>
      <c r="Y63" s="44" t="str">
        <f t="shared" si="0"/>
        <v>EXECUTE [dbo].[PG_CI_UNIDAD_OPERATIVA] 0, 0, 61, 'CHETUMAL', 'CHETUMAL', 'CHTMA', 610, 1, 10, 60, 63, 28, 47, 1090, '', '', '', '', '', '', '', '', ''</v>
      </c>
    </row>
    <row r="64" spans="1:25" ht="14.4" x14ac:dyDescent="0.3">
      <c r="A64" s="24">
        <v>0</v>
      </c>
      <c r="B64" s="24">
        <v>0</v>
      </c>
      <c r="C64" s="25">
        <v>62</v>
      </c>
      <c r="D64" s="26" t="s">
        <v>70</v>
      </c>
      <c r="E64" s="26" t="s">
        <v>70</v>
      </c>
      <c r="F64" s="46" t="s">
        <v>197</v>
      </c>
      <c r="G64" s="28">
        <f t="shared" si="1"/>
        <v>620</v>
      </c>
      <c r="H64" s="28">
        <v>1</v>
      </c>
      <c r="I64">
        <v>10</v>
      </c>
      <c r="J64" s="24">
        <v>60</v>
      </c>
      <c r="K64" s="24">
        <v>64</v>
      </c>
      <c r="L64" s="42">
        <v>52</v>
      </c>
      <c r="M64" s="24">
        <v>45</v>
      </c>
      <c r="N64" s="45">
        <v>1080</v>
      </c>
      <c r="O64" s="43" t="s">
        <v>139</v>
      </c>
      <c r="P64" s="43" t="s">
        <v>139</v>
      </c>
      <c r="Q64" s="43" t="s">
        <v>139</v>
      </c>
      <c r="R64" s="43" t="s">
        <v>139</v>
      </c>
      <c r="S64" s="43" t="s">
        <v>139</v>
      </c>
      <c r="T64" s="43" t="s">
        <v>139</v>
      </c>
      <c r="U64" s="43" t="s">
        <v>139</v>
      </c>
      <c r="V64" s="43" t="s">
        <v>139</v>
      </c>
      <c r="W64" s="43" t="s">
        <v>139</v>
      </c>
      <c r="Y64" s="44" t="str">
        <f t="shared" si="0"/>
        <v>EXECUTE [dbo].[PG_CI_UNIDAD_OPERATIVA] 0, 0, 62, 'MERIDA', 'MERIDA', 'MERID', 620, 1, 10, 60, 64, 52, 45, 1080, '', '', '', '', '', '', '', '', ''</v>
      </c>
    </row>
    <row r="65" spans="1:25" ht="14.4" x14ac:dyDescent="0.3">
      <c r="A65" s="24">
        <v>0</v>
      </c>
      <c r="B65" s="24">
        <v>0</v>
      </c>
      <c r="C65" s="25">
        <v>63</v>
      </c>
      <c r="D65" s="26" t="s">
        <v>71</v>
      </c>
      <c r="E65" s="26" t="s">
        <v>71</v>
      </c>
      <c r="F65" s="46" t="s">
        <v>71</v>
      </c>
      <c r="G65" s="28">
        <f t="shared" si="1"/>
        <v>630</v>
      </c>
      <c r="H65" s="28">
        <v>1</v>
      </c>
      <c r="I65">
        <v>10</v>
      </c>
      <c r="J65" s="24">
        <v>60</v>
      </c>
      <c r="K65" s="24">
        <v>65</v>
      </c>
      <c r="L65" s="42">
        <v>79</v>
      </c>
      <c r="M65" s="24">
        <v>45</v>
      </c>
      <c r="N65" s="45">
        <v>1080</v>
      </c>
      <c r="O65" s="43" t="s">
        <v>139</v>
      </c>
      <c r="P65" s="43" t="s">
        <v>139</v>
      </c>
      <c r="Q65" s="43" t="s">
        <v>139</v>
      </c>
      <c r="R65" s="43" t="s">
        <v>139</v>
      </c>
      <c r="S65" s="43" t="s">
        <v>139</v>
      </c>
      <c r="T65" s="43" t="s">
        <v>139</v>
      </c>
      <c r="U65" s="43" t="s">
        <v>139</v>
      </c>
      <c r="V65" s="43" t="s">
        <v>139</v>
      </c>
      <c r="W65" s="43" t="s">
        <v>139</v>
      </c>
      <c r="Y65" s="44" t="str">
        <f t="shared" si="0"/>
        <v>EXECUTE [dbo].[PG_CI_UNIDAD_OPERATIVA] 0, 0, 63, 'TICUL', 'TICUL', 'TICUL', 630, 1, 10, 60, 65, 79, 45, 1080, '', '', '', '', '', '', '', '', ''</v>
      </c>
    </row>
    <row r="66" spans="1:25" ht="14.4" x14ac:dyDescent="0.3">
      <c r="A66" s="24">
        <v>0</v>
      </c>
      <c r="B66" s="24">
        <v>0</v>
      </c>
      <c r="C66" s="25">
        <v>64</v>
      </c>
      <c r="D66" s="26" t="s">
        <v>72</v>
      </c>
      <c r="E66" s="26" t="s">
        <v>72</v>
      </c>
      <c r="F66" s="46" t="s">
        <v>199</v>
      </c>
      <c r="G66" s="28">
        <f t="shared" si="1"/>
        <v>640</v>
      </c>
      <c r="H66" s="28">
        <v>1</v>
      </c>
      <c r="I66">
        <v>10</v>
      </c>
      <c r="J66" s="24">
        <v>60</v>
      </c>
      <c r="K66" s="24">
        <v>66</v>
      </c>
      <c r="L66" s="42">
        <v>23</v>
      </c>
      <c r="M66" s="24">
        <v>53</v>
      </c>
      <c r="N66" s="45">
        <v>1190</v>
      </c>
      <c r="O66" s="43" t="s">
        <v>139</v>
      </c>
      <c r="P66" s="43" t="s">
        <v>139</v>
      </c>
      <c r="Q66" s="43" t="s">
        <v>139</v>
      </c>
      <c r="R66" s="43" t="s">
        <v>139</v>
      </c>
      <c r="S66" s="43" t="s">
        <v>139</v>
      </c>
      <c r="T66" s="43" t="s">
        <v>139</v>
      </c>
      <c r="U66" s="43" t="s">
        <v>139</v>
      </c>
      <c r="V66" s="43" t="s">
        <v>139</v>
      </c>
      <c r="W66" s="43" t="s">
        <v>139</v>
      </c>
      <c r="Y66" s="44" t="str">
        <f t="shared" ref="Y66:Y86" si="2">CONCATENATE("EXECUTE [dbo].[PG_CI_UNIDAD_OPERATIVA]"," ",A66,", ",B66,", ",C66,", '",D66,"', '",E66,"', '",F66,"', ",G66,", ",H66,", ",I66,", ",J66,", ",K66,", ",L66,", ",M66,", ",N66,", ",O66,", ",P66,", ",Q66,", ",R66,", ",S66,", ",T66,", ",U66,", ",V66,", ",W66)</f>
        <v>EXECUTE [dbo].[PG_CI_UNIDAD_OPERATIVA] 0, 0, 64, 'CAMPECHE', 'CAMPECHE', 'CMPCH', 640, 1, 10, 60, 66, 23, 53, 1190, '', '', '', '', '', '', '', '', ''</v>
      </c>
    </row>
    <row r="67" spans="1:25" ht="14.4" x14ac:dyDescent="0.3">
      <c r="A67" s="24">
        <v>0</v>
      </c>
      <c r="B67" s="24">
        <v>0</v>
      </c>
      <c r="C67" s="25">
        <v>65</v>
      </c>
      <c r="D67" s="26" t="s">
        <v>73</v>
      </c>
      <c r="E67" s="26" t="s">
        <v>73</v>
      </c>
      <c r="F67" s="46" t="s">
        <v>198</v>
      </c>
      <c r="G67" s="28">
        <f t="shared" si="1"/>
        <v>650</v>
      </c>
      <c r="H67" s="28">
        <v>1</v>
      </c>
      <c r="I67">
        <v>10</v>
      </c>
      <c r="J67" s="24">
        <v>60</v>
      </c>
      <c r="K67" s="24">
        <v>67</v>
      </c>
      <c r="L67" s="42">
        <v>26</v>
      </c>
      <c r="M67" s="24">
        <v>53</v>
      </c>
      <c r="N67" s="45">
        <v>1190</v>
      </c>
      <c r="O67" s="43" t="s">
        <v>139</v>
      </c>
      <c r="P67" s="43" t="s">
        <v>139</v>
      </c>
      <c r="Q67" s="43" t="s">
        <v>139</v>
      </c>
      <c r="R67" s="43" t="s">
        <v>139</v>
      </c>
      <c r="S67" s="43" t="s">
        <v>139</v>
      </c>
      <c r="T67" s="43" t="s">
        <v>139</v>
      </c>
      <c r="U67" s="43" t="s">
        <v>139</v>
      </c>
      <c r="V67" s="43" t="s">
        <v>139</v>
      </c>
      <c r="W67" s="43" t="s">
        <v>139</v>
      </c>
      <c r="Y67" s="44" t="str">
        <f t="shared" si="2"/>
        <v>EXECUTE [dbo].[PG_CI_UNIDAD_OPERATIVA] 0, 0, 65, 'CD. DEL CARMEN', 'CD. DEL CARMEN', 'CDCAR', 650, 1, 10, 60, 67, 26, 53, 1190, '', '', '', '', '', '', '', '', ''</v>
      </c>
    </row>
    <row r="68" spans="1:25" ht="14.4" x14ac:dyDescent="0.3">
      <c r="A68" s="24">
        <v>0</v>
      </c>
      <c r="B68" s="24">
        <v>0</v>
      </c>
      <c r="C68" s="25">
        <v>66</v>
      </c>
      <c r="D68" s="26" t="s">
        <v>74</v>
      </c>
      <c r="E68" s="26" t="s">
        <v>74</v>
      </c>
      <c r="F68" s="46" t="s">
        <v>200</v>
      </c>
      <c r="G68" s="28">
        <f t="shared" ref="G68:G85" si="3">C68*10</f>
        <v>660</v>
      </c>
      <c r="H68" s="28">
        <v>1</v>
      </c>
      <c r="I68">
        <v>10</v>
      </c>
      <c r="J68" s="24">
        <v>60</v>
      </c>
      <c r="K68" s="24">
        <v>68</v>
      </c>
      <c r="L68" s="42">
        <v>54</v>
      </c>
      <c r="M68" s="24">
        <v>54</v>
      </c>
      <c r="N68" s="45">
        <v>1120</v>
      </c>
      <c r="O68" s="43" t="s">
        <v>139</v>
      </c>
      <c r="P68" s="43" t="s">
        <v>139</v>
      </c>
      <c r="Q68" s="43" t="s">
        <v>139</v>
      </c>
      <c r="R68" s="43" t="s">
        <v>139</v>
      </c>
      <c r="S68" s="43" t="s">
        <v>139</v>
      </c>
      <c r="T68" s="43" t="s">
        <v>139</v>
      </c>
      <c r="U68" s="43" t="s">
        <v>139</v>
      </c>
      <c r="V68" s="43" t="s">
        <v>139</v>
      </c>
      <c r="W68" s="43" t="s">
        <v>139</v>
      </c>
      <c r="Y68" s="44" t="str">
        <f t="shared" si="2"/>
        <v>EXECUTE [dbo].[PG_CI_UNIDAD_OPERATIVA] 0, 0, 66, 'MINATITLAN', 'MINATITLAN', 'MINAT', 660, 1, 10, 60, 68, 54, 54, 1120, '', '', '', '', '', '', '', '', ''</v>
      </c>
    </row>
    <row r="69" spans="1:25" ht="14.4" x14ac:dyDescent="0.3">
      <c r="A69" s="24">
        <v>0</v>
      </c>
      <c r="B69" s="24">
        <v>0</v>
      </c>
      <c r="C69" s="25">
        <v>67</v>
      </c>
      <c r="D69" s="26" t="s">
        <v>75</v>
      </c>
      <c r="E69" s="26" t="s">
        <v>75</v>
      </c>
      <c r="F69" s="46" t="s">
        <v>201</v>
      </c>
      <c r="G69" s="28">
        <f t="shared" si="3"/>
        <v>670</v>
      </c>
      <c r="H69" s="28">
        <v>1</v>
      </c>
      <c r="I69">
        <v>10</v>
      </c>
      <c r="J69" s="24">
        <v>60</v>
      </c>
      <c r="K69" s="24">
        <v>71</v>
      </c>
      <c r="L69" s="42">
        <v>68</v>
      </c>
      <c r="M69" s="24">
        <v>45</v>
      </c>
      <c r="N69" s="45">
        <v>1080</v>
      </c>
      <c r="O69" s="43" t="s">
        <v>139</v>
      </c>
      <c r="P69" s="43" t="s">
        <v>139</v>
      </c>
      <c r="Q69" s="43" t="s">
        <v>139</v>
      </c>
      <c r="R69" s="43" t="s">
        <v>139</v>
      </c>
      <c r="S69" s="43" t="s">
        <v>139</v>
      </c>
      <c r="T69" s="43" t="s">
        <v>139</v>
      </c>
      <c r="U69" s="43" t="s">
        <v>139</v>
      </c>
      <c r="V69" s="43" t="s">
        <v>139</v>
      </c>
      <c r="W69" s="43" t="s">
        <v>139</v>
      </c>
      <c r="Y69" s="44" t="str">
        <f t="shared" si="2"/>
        <v>EXECUTE [dbo].[PG_CI_UNIDAD_OPERATIVA] 0, 0, 67, 'PROGRESO', 'PROGRESO', 'PRGSO', 670, 1, 10, 60, 71, 68, 45, 1080, '', '', '', '', '', '', '', '', ''</v>
      </c>
    </row>
    <row r="70" spans="1:25" ht="14.4" x14ac:dyDescent="0.3">
      <c r="A70" s="24">
        <v>0</v>
      </c>
      <c r="B70" s="24">
        <v>0</v>
      </c>
      <c r="C70" s="25">
        <v>68</v>
      </c>
      <c r="D70" s="26" t="s">
        <v>76</v>
      </c>
      <c r="E70" s="26" t="s">
        <v>76</v>
      </c>
      <c r="F70" s="46" t="s">
        <v>202</v>
      </c>
      <c r="G70" s="28">
        <f t="shared" si="3"/>
        <v>680</v>
      </c>
      <c r="H70" s="28">
        <v>1</v>
      </c>
      <c r="I70">
        <v>10</v>
      </c>
      <c r="J70" s="24">
        <v>40</v>
      </c>
      <c r="K70" s="24">
        <v>72</v>
      </c>
      <c r="L70" s="42">
        <v>16</v>
      </c>
      <c r="M70" s="24">
        <v>10</v>
      </c>
      <c r="N70" s="45">
        <v>1130</v>
      </c>
      <c r="O70" s="43" t="s">
        <v>139</v>
      </c>
      <c r="P70" s="43" t="s">
        <v>139</v>
      </c>
      <c r="Q70" s="43" t="s">
        <v>139</v>
      </c>
      <c r="R70" s="43" t="s">
        <v>139</v>
      </c>
      <c r="S70" s="43" t="s">
        <v>139</v>
      </c>
      <c r="T70" s="43" t="s">
        <v>139</v>
      </c>
      <c r="U70" s="43" t="s">
        <v>139</v>
      </c>
      <c r="V70" s="43" t="s">
        <v>139</v>
      </c>
      <c r="W70" s="43" t="s">
        <v>139</v>
      </c>
      <c r="Y70" s="44" t="str">
        <f t="shared" si="2"/>
        <v>EXECUTE [dbo].[PG_CI_UNIDAD_OPERATIVA] 0, 0, 68, 'AGUASCALIENTES', 'AGUASCALIENTES', 'AGUAS', 680, 1, 10, 40, 72, 16, 10, 1130, '', '', '', '', '', '', '', '', ''</v>
      </c>
    </row>
    <row r="71" spans="1:25" ht="14.4" x14ac:dyDescent="0.3">
      <c r="A71" s="24">
        <v>0</v>
      </c>
      <c r="B71" s="24">
        <v>0</v>
      </c>
      <c r="C71" s="25">
        <v>69</v>
      </c>
      <c r="D71" s="26" t="s">
        <v>77</v>
      </c>
      <c r="E71" s="26" t="s">
        <v>77</v>
      </c>
      <c r="F71" s="46" t="s">
        <v>205</v>
      </c>
      <c r="G71" s="28">
        <f t="shared" si="3"/>
        <v>690</v>
      </c>
      <c r="H71" s="28">
        <v>1</v>
      </c>
      <c r="I71">
        <v>10</v>
      </c>
      <c r="J71" s="24">
        <v>10</v>
      </c>
      <c r="K71" s="24">
        <v>73</v>
      </c>
      <c r="L71" s="42">
        <v>74</v>
      </c>
      <c r="M71" s="24">
        <v>16</v>
      </c>
      <c r="N71" s="45">
        <v>1010</v>
      </c>
      <c r="O71" s="43" t="s">
        <v>139</v>
      </c>
      <c r="P71" s="43" t="s">
        <v>139</v>
      </c>
      <c r="Q71" s="43" t="s">
        <v>139</v>
      </c>
      <c r="R71" s="43" t="s">
        <v>139</v>
      </c>
      <c r="S71" s="43" t="s">
        <v>139</v>
      </c>
      <c r="T71" s="43" t="s">
        <v>139</v>
      </c>
      <c r="U71" s="43" t="s">
        <v>139</v>
      </c>
      <c r="V71" s="43" t="s">
        <v>139</v>
      </c>
      <c r="W71" s="43" t="s">
        <v>139</v>
      </c>
      <c r="Y71" s="44" t="str">
        <f t="shared" si="2"/>
        <v>EXECUTE [dbo].[PG_CI_UNIDAD_OPERATIVA] 0, 0, 69, 'SAN QUINTIN', 'SAN QUINTIN', 'SNQTN', 690, 1, 10, 10, 73, 74, 16, 1010, '', '', '', '', '', '', '', '', ''</v>
      </c>
    </row>
    <row r="72" spans="1:25" ht="14.4" x14ac:dyDescent="0.3">
      <c r="A72" s="24">
        <v>0</v>
      </c>
      <c r="B72" s="24">
        <v>0</v>
      </c>
      <c r="C72" s="25">
        <v>70</v>
      </c>
      <c r="D72" s="26" t="s">
        <v>78</v>
      </c>
      <c r="E72" s="26" t="s">
        <v>78</v>
      </c>
      <c r="F72" s="46" t="s">
        <v>203</v>
      </c>
      <c r="G72" s="28">
        <f t="shared" si="3"/>
        <v>700</v>
      </c>
      <c r="H72" s="28">
        <v>1</v>
      </c>
      <c r="I72">
        <v>10</v>
      </c>
      <c r="J72" s="24">
        <v>40</v>
      </c>
      <c r="K72" s="24">
        <v>74</v>
      </c>
      <c r="L72" s="42">
        <v>49</v>
      </c>
      <c r="M72" s="24">
        <v>65</v>
      </c>
      <c r="N72" s="45">
        <v>1042</v>
      </c>
      <c r="O72" s="43" t="s">
        <v>139</v>
      </c>
      <c r="P72" s="43" t="s">
        <v>139</v>
      </c>
      <c r="Q72" s="43" t="s">
        <v>139</v>
      </c>
      <c r="R72" s="43" t="s">
        <v>139</v>
      </c>
      <c r="S72" s="43" t="s">
        <v>139</v>
      </c>
      <c r="T72" s="43" t="s">
        <v>139</v>
      </c>
      <c r="U72" s="43" t="s">
        <v>139</v>
      </c>
      <c r="V72" s="43" t="s">
        <v>139</v>
      </c>
      <c r="W72" s="43" t="s">
        <v>139</v>
      </c>
      <c r="Y72" s="44" t="str">
        <f t="shared" si="2"/>
        <v>EXECUTE [dbo].[PG_CI_UNIDAD_OPERATIVA] 0, 0, 70, 'MAMEME GAS', 'MAMEME GAS', 'MAMEM', 700, 1, 10, 40, 74, 49, 65, 1042, '', '', '', '', '', '', '', '', ''</v>
      </c>
    </row>
    <row r="73" spans="1:25" ht="14.4" x14ac:dyDescent="0.3">
      <c r="A73" s="24">
        <v>0</v>
      </c>
      <c r="B73" s="24">
        <v>0</v>
      </c>
      <c r="C73" s="25">
        <v>71</v>
      </c>
      <c r="D73" s="26" t="s">
        <v>79</v>
      </c>
      <c r="E73" s="26" t="s">
        <v>79</v>
      </c>
      <c r="F73" s="46" t="s">
        <v>204</v>
      </c>
      <c r="G73" s="28">
        <f t="shared" si="3"/>
        <v>710</v>
      </c>
      <c r="H73" s="28">
        <v>1</v>
      </c>
      <c r="I73">
        <v>10</v>
      </c>
      <c r="J73" s="24">
        <v>60</v>
      </c>
      <c r="K73" s="24">
        <v>78</v>
      </c>
      <c r="L73" s="42">
        <v>67</v>
      </c>
      <c r="M73" s="24">
        <v>0</v>
      </c>
      <c r="N73" s="45">
        <v>1090</v>
      </c>
      <c r="O73" s="43" t="s">
        <v>139</v>
      </c>
      <c r="P73" s="43" t="s">
        <v>139</v>
      </c>
      <c r="Q73" s="43" t="s">
        <v>139</v>
      </c>
      <c r="R73" s="43" t="s">
        <v>139</v>
      </c>
      <c r="S73" s="43" t="s">
        <v>139</v>
      </c>
      <c r="T73" s="43" t="s">
        <v>139</v>
      </c>
      <c r="U73" s="43" t="s">
        <v>139</v>
      </c>
      <c r="V73" s="43" t="s">
        <v>139</v>
      </c>
      <c r="W73" s="43" t="s">
        <v>139</v>
      </c>
      <c r="Y73" s="44" t="str">
        <f t="shared" si="2"/>
        <v>EXECUTE [dbo].[PG_CI_UNIDAD_OPERATIVA] 0, 0, 71, 'PLAYA DEL CARMEN', 'PLAYA DEL CARMEN', 'PYACA', 710, 1, 10, 60, 78, 67, 0, 1090, '', '', '', '', '', '', '', '', ''</v>
      </c>
    </row>
    <row r="74" spans="1:25" ht="14.4" x14ac:dyDescent="0.3">
      <c r="A74" s="24">
        <v>0</v>
      </c>
      <c r="B74" s="24">
        <v>0</v>
      </c>
      <c r="C74" s="25">
        <v>72</v>
      </c>
      <c r="D74" s="26" t="s">
        <v>80</v>
      </c>
      <c r="E74" s="26" t="s">
        <v>80</v>
      </c>
      <c r="F74" s="46" t="s">
        <v>206</v>
      </c>
      <c r="G74" s="28">
        <f t="shared" si="3"/>
        <v>720</v>
      </c>
      <c r="H74" s="28">
        <v>1</v>
      </c>
      <c r="I74">
        <v>10</v>
      </c>
      <c r="J74" s="24">
        <v>0</v>
      </c>
      <c r="K74" s="24">
        <v>79</v>
      </c>
      <c r="L74" s="42">
        <v>44</v>
      </c>
      <c r="M74" s="24">
        <v>19</v>
      </c>
      <c r="N74" s="45">
        <v>1160</v>
      </c>
      <c r="O74" s="43" t="s">
        <v>139</v>
      </c>
      <c r="P74" s="43" t="s">
        <v>139</v>
      </c>
      <c r="Q74" s="43" t="s">
        <v>139</v>
      </c>
      <c r="R74" s="43" t="s">
        <v>139</v>
      </c>
      <c r="S74" s="43" t="s">
        <v>139</v>
      </c>
      <c r="T74" s="43" t="s">
        <v>139</v>
      </c>
      <c r="U74" s="43" t="s">
        <v>139</v>
      </c>
      <c r="V74" s="43" t="s">
        <v>139</v>
      </c>
      <c r="W74" s="43" t="s">
        <v>139</v>
      </c>
      <c r="Y74" s="44" t="str">
        <f t="shared" si="2"/>
        <v>EXECUTE [dbo].[PG_CI_UNIDAD_OPERATIVA] 0, 0, 72, 'HIDALGO', 'HIDALGO', 'HDLGO', 720, 1, 10, 0, 79, 44, 19, 1160, '', '', '', '', '', '', '', '', ''</v>
      </c>
    </row>
    <row r="75" spans="1:25" ht="14.4" x14ac:dyDescent="0.3">
      <c r="A75" s="24">
        <v>0</v>
      </c>
      <c r="B75" s="24">
        <v>0</v>
      </c>
      <c r="C75" s="25">
        <v>73</v>
      </c>
      <c r="D75" s="26" t="s">
        <v>81</v>
      </c>
      <c r="E75" s="26" t="s">
        <v>81</v>
      </c>
      <c r="F75" s="46" t="s">
        <v>207</v>
      </c>
      <c r="G75" s="28">
        <f t="shared" si="3"/>
        <v>730</v>
      </c>
      <c r="H75" s="28">
        <v>1</v>
      </c>
      <c r="I75">
        <v>10</v>
      </c>
      <c r="J75" s="24">
        <v>50</v>
      </c>
      <c r="K75" s="24">
        <v>84</v>
      </c>
      <c r="L75" s="42">
        <v>55</v>
      </c>
      <c r="M75" s="24">
        <v>90</v>
      </c>
      <c r="N75" s="45">
        <v>1100</v>
      </c>
      <c r="O75" s="43" t="s">
        <v>139</v>
      </c>
      <c r="P75" s="43" t="s">
        <v>139</v>
      </c>
      <c r="Q75" s="43" t="s">
        <v>139</v>
      </c>
      <c r="R75" s="43" t="s">
        <v>139</v>
      </c>
      <c r="S75" s="43" t="s">
        <v>139</v>
      </c>
      <c r="T75" s="43" t="s">
        <v>139</v>
      </c>
      <c r="U75" s="43" t="s">
        <v>139</v>
      </c>
      <c r="V75" s="43" t="s">
        <v>139</v>
      </c>
      <c r="W75" s="43" t="s">
        <v>139</v>
      </c>
      <c r="Y75" s="44" t="str">
        <f t="shared" si="2"/>
        <v>EXECUTE [dbo].[PG_CI_UNIDAD_OPERATIVA] 0, 0, 73, 'MOCHIS', 'MOCHIS', 'MOCHS', 730, 1, 10, 50, 84, 55, 90, 1100, '', '', '', '', '', '', '', '', ''</v>
      </c>
    </row>
    <row r="76" spans="1:25" ht="14.4" x14ac:dyDescent="0.3">
      <c r="A76" s="24">
        <v>0</v>
      </c>
      <c r="B76" s="24">
        <v>0</v>
      </c>
      <c r="C76" s="25">
        <v>74</v>
      </c>
      <c r="D76" s="26" t="s">
        <v>82</v>
      </c>
      <c r="E76" s="26" t="s">
        <v>82</v>
      </c>
      <c r="F76" s="45" t="s">
        <v>208</v>
      </c>
      <c r="G76" s="28">
        <f t="shared" si="3"/>
        <v>740</v>
      </c>
      <c r="H76" s="28">
        <v>1</v>
      </c>
      <c r="I76">
        <v>20</v>
      </c>
      <c r="J76" s="24">
        <v>30</v>
      </c>
      <c r="K76" s="24">
        <v>85</v>
      </c>
      <c r="L76" s="42">
        <v>77</v>
      </c>
      <c r="M76" s="24">
        <v>0</v>
      </c>
      <c r="N76" s="45">
        <v>1030</v>
      </c>
      <c r="O76" s="43" t="s">
        <v>139</v>
      </c>
      <c r="P76" s="43" t="s">
        <v>139</v>
      </c>
      <c r="Q76" s="43" t="s">
        <v>139</v>
      </c>
      <c r="R76" s="43" t="s">
        <v>139</v>
      </c>
      <c r="S76" s="43" t="s">
        <v>139</v>
      </c>
      <c r="T76" s="43" t="s">
        <v>139</v>
      </c>
      <c r="U76" s="43" t="s">
        <v>139</v>
      </c>
      <c r="V76" s="43" t="s">
        <v>139</v>
      </c>
      <c r="W76" s="43" t="s">
        <v>139</v>
      </c>
      <c r="Y76" s="44" t="str">
        <f t="shared" si="2"/>
        <v>EXECUTE [dbo].[PG_CI_UNIDAD_OPERATIVA] 0, 0, 74, 'TERMINAL JUAREZ', 'TERMINAL JUAREZ', 'JUARZ', 740, 1, 20, 30, 85, 77, 0, 1030, '', '', '', '', '', '', '', '', ''</v>
      </c>
    </row>
    <row r="77" spans="1:25" ht="14.4" x14ac:dyDescent="0.3">
      <c r="A77" s="24">
        <v>0</v>
      </c>
      <c r="B77" s="24">
        <v>0</v>
      </c>
      <c r="C77" s="25">
        <v>75</v>
      </c>
      <c r="D77" s="26" t="s">
        <v>83</v>
      </c>
      <c r="E77" s="26" t="s">
        <v>83</v>
      </c>
      <c r="F77" s="46" t="s">
        <v>140</v>
      </c>
      <c r="G77" s="28">
        <f t="shared" si="3"/>
        <v>750</v>
      </c>
      <c r="H77" s="28">
        <v>1</v>
      </c>
      <c r="I77">
        <v>10</v>
      </c>
      <c r="J77" s="24">
        <v>40</v>
      </c>
      <c r="K77" s="24">
        <v>89</v>
      </c>
      <c r="L77" s="42">
        <v>39</v>
      </c>
      <c r="M77" s="24">
        <v>0</v>
      </c>
      <c r="N77" s="45">
        <v>1042</v>
      </c>
      <c r="O77" s="43" t="s">
        <v>139</v>
      </c>
      <c r="P77" s="43" t="s">
        <v>139</v>
      </c>
      <c r="Q77" s="43" t="s">
        <v>139</v>
      </c>
      <c r="R77" s="43" t="s">
        <v>139</v>
      </c>
      <c r="S77" s="43" t="s">
        <v>139</v>
      </c>
      <c r="T77" s="43" t="s">
        <v>139</v>
      </c>
      <c r="U77" s="43" t="s">
        <v>139</v>
      </c>
      <c r="V77" s="43" t="s">
        <v>139</v>
      </c>
      <c r="W77" s="43" t="s">
        <v>139</v>
      </c>
      <c r="Y77" s="44" t="str">
        <f t="shared" si="2"/>
        <v>EXECUTE [dbo].[PG_CI_UNIDAD_OPERATIVA] 0, 0, 75, 'GUADALAJARA', 'GUADALAJARA', 'GUADA', 750, 1, 10, 40, 89, 39, 0, 1042, '', '', '', '', '', '', '', '', ''</v>
      </c>
    </row>
    <row r="78" spans="1:25" ht="14.4" x14ac:dyDescent="0.3">
      <c r="A78" s="24">
        <v>0</v>
      </c>
      <c r="B78" s="24">
        <v>0</v>
      </c>
      <c r="C78" s="25">
        <v>76</v>
      </c>
      <c r="D78" s="26" t="s">
        <v>84</v>
      </c>
      <c r="E78" s="26" t="s">
        <v>84</v>
      </c>
      <c r="F78" s="46" t="s">
        <v>209</v>
      </c>
      <c r="G78" s="28">
        <f t="shared" si="3"/>
        <v>760</v>
      </c>
      <c r="H78" s="28">
        <v>1</v>
      </c>
      <c r="I78">
        <v>10</v>
      </c>
      <c r="J78" s="24">
        <v>50</v>
      </c>
      <c r="K78" s="24">
        <v>90</v>
      </c>
      <c r="L78" s="42">
        <v>31</v>
      </c>
      <c r="M78" s="24">
        <v>90</v>
      </c>
      <c r="N78" s="45">
        <v>1100</v>
      </c>
      <c r="O78" s="43" t="s">
        <v>139</v>
      </c>
      <c r="P78" s="43" t="s">
        <v>139</v>
      </c>
      <c r="Q78" s="43" t="s">
        <v>139</v>
      </c>
      <c r="R78" s="43" t="s">
        <v>139</v>
      </c>
      <c r="S78" s="43" t="s">
        <v>139</v>
      </c>
      <c r="T78" s="43" t="s">
        <v>139</v>
      </c>
      <c r="U78" s="43" t="s">
        <v>139</v>
      </c>
      <c r="V78" s="43" t="s">
        <v>139</v>
      </c>
      <c r="W78" s="43" t="s">
        <v>139</v>
      </c>
      <c r="Y78" s="44" t="str">
        <f t="shared" si="2"/>
        <v>EXECUTE [dbo].[PG_CI_UNIDAD_OPERATIVA] 0, 0, 76, 'CULIACAN', 'CULIACAN', 'CULCN', 760, 1, 10, 50, 90, 31, 90, 1100, '', '', '', '', '', '', '', '', ''</v>
      </c>
    </row>
    <row r="79" spans="1:25" ht="14.4" x14ac:dyDescent="0.3">
      <c r="A79" s="24">
        <v>0</v>
      </c>
      <c r="B79" s="24">
        <v>0</v>
      </c>
      <c r="C79" s="25">
        <v>77</v>
      </c>
      <c r="D79" s="26" t="s">
        <v>85</v>
      </c>
      <c r="E79" s="26" t="s">
        <v>85</v>
      </c>
      <c r="F79" s="46" t="s">
        <v>210</v>
      </c>
      <c r="G79" s="28">
        <f t="shared" si="3"/>
        <v>770</v>
      </c>
      <c r="H79" s="28">
        <v>1</v>
      </c>
      <c r="I79">
        <v>10</v>
      </c>
      <c r="J79" s="24">
        <v>40</v>
      </c>
      <c r="K79" s="24">
        <v>92</v>
      </c>
      <c r="L79" s="42">
        <v>78</v>
      </c>
      <c r="M79" s="24">
        <v>0</v>
      </c>
      <c r="N79" s="45">
        <v>1042</v>
      </c>
      <c r="O79" s="43" t="s">
        <v>139</v>
      </c>
      <c r="P79" s="43" t="s">
        <v>139</v>
      </c>
      <c r="Q79" s="43" t="s">
        <v>139</v>
      </c>
      <c r="R79" s="43" t="s">
        <v>139</v>
      </c>
      <c r="S79" s="43" t="s">
        <v>139</v>
      </c>
      <c r="T79" s="43" t="s">
        <v>139</v>
      </c>
      <c r="U79" s="43" t="s">
        <v>139</v>
      </c>
      <c r="V79" s="43" t="s">
        <v>139</v>
      </c>
      <c r="W79" s="43" t="s">
        <v>139</v>
      </c>
      <c r="Y79" s="44" t="str">
        <f t="shared" si="2"/>
        <v>EXECUTE [dbo].[PG_CI_UNIDAD_OPERATIVA] 0, 0, 77, 'TESISTAN', 'TESISTAN', 'TESTN', 770, 1, 10, 40, 92, 78, 0, 1042, '', '', '', '', '', '', '', '', ''</v>
      </c>
    </row>
    <row r="80" spans="1:25" ht="14.4" x14ac:dyDescent="0.3">
      <c r="A80" s="24">
        <v>0</v>
      </c>
      <c r="B80" s="24">
        <v>0</v>
      </c>
      <c r="C80" s="25">
        <v>78</v>
      </c>
      <c r="D80" s="26" t="s">
        <v>86</v>
      </c>
      <c r="E80" s="26" t="s">
        <v>86</v>
      </c>
      <c r="F80" s="45" t="s">
        <v>211</v>
      </c>
      <c r="G80" s="28">
        <f t="shared" si="3"/>
        <v>780</v>
      </c>
      <c r="H80" s="28">
        <v>1</v>
      </c>
      <c r="I80">
        <v>0</v>
      </c>
      <c r="J80" s="24">
        <v>50</v>
      </c>
      <c r="K80" s="24">
        <v>93</v>
      </c>
      <c r="L80" s="42">
        <v>66</v>
      </c>
      <c r="M80" s="24">
        <v>36</v>
      </c>
      <c r="N80" s="45">
        <v>1042</v>
      </c>
      <c r="O80" s="43" t="s">
        <v>139</v>
      </c>
      <c r="P80" s="43" t="s">
        <v>139</v>
      </c>
      <c r="Q80" s="43" t="s">
        <v>139</v>
      </c>
      <c r="R80" s="43" t="s">
        <v>139</v>
      </c>
      <c r="S80" s="43" t="s">
        <v>139</v>
      </c>
      <c r="T80" s="43" t="s">
        <v>139</v>
      </c>
      <c r="U80" s="43" t="s">
        <v>139</v>
      </c>
      <c r="V80" s="43" t="s">
        <v>139</v>
      </c>
      <c r="W80" s="43" t="s">
        <v>139</v>
      </c>
      <c r="Y80" s="44" t="str">
        <f t="shared" si="2"/>
        <v>EXECUTE [dbo].[PG_CI_UNIDAD_OPERATIVA] 0, 0, 78, 'PEPSICO', 'PEPSICO', 'PEPSI', 780, 1, 0, 50, 93, 66, 36, 1042, '', '', '', '', '', '', '', '', ''</v>
      </c>
    </row>
    <row r="81" spans="1:25" ht="14.4" x14ac:dyDescent="0.3">
      <c r="A81" s="24">
        <v>0</v>
      </c>
      <c r="B81" s="24">
        <v>0</v>
      </c>
      <c r="C81" s="25">
        <v>79</v>
      </c>
      <c r="D81" s="26" t="s">
        <v>87</v>
      </c>
      <c r="E81" s="26" t="s">
        <v>87</v>
      </c>
      <c r="F81" s="46" t="s">
        <v>114</v>
      </c>
      <c r="G81" s="28">
        <f t="shared" si="3"/>
        <v>790</v>
      </c>
      <c r="H81" s="28">
        <v>1</v>
      </c>
      <c r="I81">
        <v>20</v>
      </c>
      <c r="J81" s="24">
        <v>60</v>
      </c>
      <c r="K81" s="24">
        <v>94</v>
      </c>
      <c r="L81" s="42">
        <v>83</v>
      </c>
      <c r="M81" s="24">
        <v>54</v>
      </c>
      <c r="N81" s="45">
        <v>1120</v>
      </c>
      <c r="O81" s="43" t="s">
        <v>139</v>
      </c>
      <c r="P81" s="43" t="s">
        <v>139</v>
      </c>
      <c r="Q81" s="43" t="s">
        <v>139</v>
      </c>
      <c r="R81" s="43" t="s">
        <v>139</v>
      </c>
      <c r="S81" s="43" t="s">
        <v>139</v>
      </c>
      <c r="T81" s="43" t="s">
        <v>139</v>
      </c>
      <c r="U81" s="43" t="s">
        <v>139</v>
      </c>
      <c r="V81" s="43" t="s">
        <v>139</v>
      </c>
      <c r="W81" s="43" t="s">
        <v>139</v>
      </c>
      <c r="Y81" s="44" t="str">
        <f t="shared" si="2"/>
        <v>EXECUTE [dbo].[PG_CI_UNIDAD_OPERATIVA] 0, 0, 79, 'VERACRUZ', 'VERACRUZ', 'VRCUZ', 790, 1, 20, 60, 94, 83, 54, 1120, '', '', '', '', '', '', '', '', ''</v>
      </c>
    </row>
    <row r="82" spans="1:25" ht="14.4" x14ac:dyDescent="0.3">
      <c r="A82" s="24">
        <v>0</v>
      </c>
      <c r="B82" s="24">
        <v>0</v>
      </c>
      <c r="C82" s="25">
        <v>80</v>
      </c>
      <c r="D82" s="26" t="s">
        <v>88</v>
      </c>
      <c r="E82" s="26" t="s">
        <v>88</v>
      </c>
      <c r="F82" s="46" t="s">
        <v>212</v>
      </c>
      <c r="G82" s="28">
        <f t="shared" si="3"/>
        <v>800</v>
      </c>
      <c r="H82" s="28">
        <v>1</v>
      </c>
      <c r="I82">
        <v>10</v>
      </c>
      <c r="J82" s="24">
        <v>40</v>
      </c>
      <c r="K82" s="24">
        <v>104</v>
      </c>
      <c r="L82" s="42">
        <v>41</v>
      </c>
      <c r="M82" s="24">
        <v>89</v>
      </c>
      <c r="N82" s="45">
        <v>1110</v>
      </c>
      <c r="O82" s="43" t="s">
        <v>139</v>
      </c>
      <c r="P82" s="43" t="s">
        <v>139</v>
      </c>
      <c r="Q82" s="43" t="s">
        <v>139</v>
      </c>
      <c r="R82" s="43" t="s">
        <v>139</v>
      </c>
      <c r="S82" s="43" t="s">
        <v>139</v>
      </c>
      <c r="T82" s="43" t="s">
        <v>139</v>
      </c>
      <c r="U82" s="43" t="s">
        <v>139</v>
      </c>
      <c r="V82" s="43" t="s">
        <v>139</v>
      </c>
      <c r="W82" s="43" t="s">
        <v>139</v>
      </c>
      <c r="Y82" s="44" t="str">
        <f t="shared" si="2"/>
        <v>EXECUTE [dbo].[PG_CI_UNIDAD_OPERATIVA] 0, 0, 80, 'GUANAJUATO', 'GUANAJUATO', 'GNJTO', 800, 1, 10, 40, 104, 41, 89, 1110, '', '', '', '', '', '', '', '', ''</v>
      </c>
    </row>
    <row r="83" spans="1:25" ht="14.4" x14ac:dyDescent="0.3">
      <c r="A83" s="24">
        <v>0</v>
      </c>
      <c r="B83" s="24">
        <v>0</v>
      </c>
      <c r="C83" s="25">
        <v>81</v>
      </c>
      <c r="D83" s="26" t="s">
        <v>89</v>
      </c>
      <c r="E83" s="26" t="s">
        <v>89</v>
      </c>
      <c r="F83" s="45" t="s">
        <v>163</v>
      </c>
      <c r="G83" s="28">
        <f t="shared" si="3"/>
        <v>810</v>
      </c>
      <c r="H83" s="28">
        <v>1</v>
      </c>
      <c r="I83">
        <v>10</v>
      </c>
      <c r="J83" s="24">
        <v>20</v>
      </c>
      <c r="K83" s="24">
        <v>106</v>
      </c>
      <c r="L83" s="42">
        <v>0</v>
      </c>
      <c r="M83" s="24">
        <v>19</v>
      </c>
      <c r="N83" s="45">
        <v>1050</v>
      </c>
      <c r="O83" s="43" t="s">
        <v>139</v>
      </c>
      <c r="P83" s="43" t="s">
        <v>139</v>
      </c>
      <c r="Q83" s="43" t="s">
        <v>139</v>
      </c>
      <c r="R83" s="43" t="s">
        <v>139</v>
      </c>
      <c r="S83" s="43" t="s">
        <v>139</v>
      </c>
      <c r="T83" s="43" t="s">
        <v>139</v>
      </c>
      <c r="U83" s="43" t="s">
        <v>139</v>
      </c>
      <c r="V83" s="43" t="s">
        <v>139</v>
      </c>
      <c r="W83" s="43" t="s">
        <v>139</v>
      </c>
      <c r="Y83" s="44" t="str">
        <f t="shared" si="2"/>
        <v>EXECUTE [dbo].[PG_CI_UNIDAD_OPERATIVA] 0, 0, 81, 'GTM-TEPEJI-CDMX', 'GTM-TEPEJI-CDMX', 'TEPJI', 810, 1, 10, 20, 106, 0, 19, 1050, '', '', '', '', '', '', '', '', ''</v>
      </c>
    </row>
    <row r="84" spans="1:25" ht="14.4" x14ac:dyDescent="0.3">
      <c r="A84" s="24">
        <v>0</v>
      </c>
      <c r="B84" s="24">
        <v>0</v>
      </c>
      <c r="C84" s="25">
        <v>82</v>
      </c>
      <c r="D84" s="26" t="s">
        <v>90</v>
      </c>
      <c r="E84" s="26" t="s">
        <v>90</v>
      </c>
      <c r="F84" s="46" t="s">
        <v>214</v>
      </c>
      <c r="G84" s="28">
        <f t="shared" si="3"/>
        <v>820</v>
      </c>
      <c r="H84" s="28">
        <v>1</v>
      </c>
      <c r="I84">
        <v>10</v>
      </c>
      <c r="J84" s="24">
        <v>60</v>
      </c>
      <c r="K84" s="24">
        <v>107</v>
      </c>
      <c r="L84" s="42">
        <v>52</v>
      </c>
      <c r="M84" s="24">
        <v>45</v>
      </c>
      <c r="N84" s="45">
        <v>1080</v>
      </c>
      <c r="O84" s="43" t="s">
        <v>139</v>
      </c>
      <c r="P84" s="43" t="s">
        <v>139</v>
      </c>
      <c r="Q84" s="43" t="s">
        <v>139</v>
      </c>
      <c r="R84" s="43" t="s">
        <v>139</v>
      </c>
      <c r="S84" s="43" t="s">
        <v>139</v>
      </c>
      <c r="T84" s="43" t="s">
        <v>139</v>
      </c>
      <c r="U84" s="43" t="s">
        <v>139</v>
      </c>
      <c r="V84" s="43" t="s">
        <v>139</v>
      </c>
      <c r="W84" s="43" t="s">
        <v>139</v>
      </c>
      <c r="Y84" s="44" t="str">
        <f t="shared" si="2"/>
        <v>EXECUTE [dbo].[PG_CI_UNIDAD_OPERATIVA] 0, 0, 82, 'KM80', 'KM80', 'KM.80', 820, 1, 10, 60, 107, 52, 45, 1080, '', '', '', '', '', '', '', '', ''</v>
      </c>
    </row>
    <row r="85" spans="1:25" ht="14.4" x14ac:dyDescent="0.3">
      <c r="A85" s="24">
        <v>0</v>
      </c>
      <c r="B85" s="24">
        <v>0</v>
      </c>
      <c r="C85" s="25">
        <v>83</v>
      </c>
      <c r="D85" s="26" t="s">
        <v>107</v>
      </c>
      <c r="E85" s="26" t="s">
        <v>107</v>
      </c>
      <c r="F85" s="46" t="s">
        <v>111</v>
      </c>
      <c r="G85" s="28">
        <f t="shared" si="3"/>
        <v>830</v>
      </c>
      <c r="H85" s="31">
        <v>1</v>
      </c>
      <c r="I85">
        <v>10</v>
      </c>
      <c r="J85" s="32">
        <v>30</v>
      </c>
      <c r="K85" s="32">
        <v>32</v>
      </c>
      <c r="L85" s="42">
        <v>30</v>
      </c>
      <c r="M85" s="24">
        <v>28</v>
      </c>
      <c r="N85" s="45">
        <v>1030</v>
      </c>
      <c r="O85" s="43" t="s">
        <v>139</v>
      </c>
      <c r="P85" s="43" t="s">
        <v>139</v>
      </c>
      <c r="Q85" s="43" t="s">
        <v>139</v>
      </c>
      <c r="R85" s="43" t="s">
        <v>139</v>
      </c>
      <c r="S85" s="43" t="s">
        <v>139</v>
      </c>
      <c r="T85" s="43" t="s">
        <v>139</v>
      </c>
      <c r="U85" s="43" t="s">
        <v>139</v>
      </c>
      <c r="V85" s="43" t="s">
        <v>139</v>
      </c>
      <c r="W85" s="43" t="s">
        <v>139</v>
      </c>
      <c r="Y85" s="44" t="str">
        <f t="shared" si="2"/>
        <v>EXECUTE [dbo].[PG_CI_UNIDAD_OPERATIVA] 0, 0, 83, 'CUAUHTEMOC', 'CUAUHTEMOC', 'CUAUH', 830, 1, 10, 30, 32, 30, 28, 1030, '', '', '', '', '', '', '', '', ''</v>
      </c>
    </row>
    <row r="86" spans="1:25" ht="14.4" x14ac:dyDescent="0.3">
      <c r="A86" s="24">
        <v>0</v>
      </c>
      <c r="B86" s="24">
        <v>0</v>
      </c>
      <c r="C86">
        <v>84</v>
      </c>
      <c r="D86" t="s">
        <v>138</v>
      </c>
      <c r="E86" t="s">
        <v>138</v>
      </c>
      <c r="F86" s="47" t="s">
        <v>213</v>
      </c>
      <c r="G86">
        <v>840</v>
      </c>
      <c r="H86">
        <v>1</v>
      </c>
      <c r="I86">
        <v>10</v>
      </c>
      <c r="J86" s="42">
        <v>30</v>
      </c>
      <c r="K86">
        <v>24</v>
      </c>
      <c r="L86" s="42">
        <v>51</v>
      </c>
      <c r="M86" s="24">
        <v>12</v>
      </c>
      <c r="N86" s="45">
        <v>1030</v>
      </c>
      <c r="O86" s="43" t="s">
        <v>139</v>
      </c>
      <c r="P86" s="43" t="s">
        <v>139</v>
      </c>
      <c r="Q86" s="43" t="s">
        <v>139</v>
      </c>
      <c r="R86" s="43" t="s">
        <v>139</v>
      </c>
      <c r="S86" s="43" t="s">
        <v>139</v>
      </c>
      <c r="T86" s="43" t="s">
        <v>139</v>
      </c>
      <c r="U86" s="43" t="s">
        <v>139</v>
      </c>
      <c r="V86" s="43" t="s">
        <v>139</v>
      </c>
      <c r="W86" s="43" t="s">
        <v>139</v>
      </c>
      <c r="Y86" s="44" t="str">
        <f t="shared" si="2"/>
        <v>EXECUTE [dbo].[PG_CI_UNIDAD_OPERATIVA] 0, 0, 84, 'MATRIZ', 'MATRIZ', 'NVOCG', 840, 1, 10, 30, 24, 51, 12, 1030, '', '', '', '', '', '', '', '', ''</v>
      </c>
    </row>
    <row r="90" spans="1:25" ht="14.4" x14ac:dyDescent="0.3">
      <c r="G9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S31"/>
  <sheetViews>
    <sheetView workbookViewId="0">
      <selection activeCell="G28" sqref="G28"/>
    </sheetView>
  </sheetViews>
  <sheetFormatPr baseColWidth="10" defaultRowHeight="14.4" x14ac:dyDescent="0.3"/>
  <cols>
    <col min="2" max="2" width="19.6640625" bestFit="1" customWidth="1"/>
    <col min="3" max="3" width="12.109375" bestFit="1" customWidth="1"/>
    <col min="7" max="7" width="18.44140625" bestFit="1" customWidth="1"/>
    <col min="8" max="8" width="12.109375" bestFit="1" customWidth="1"/>
  </cols>
  <sheetData>
    <row r="1" spans="1:19" ht="23.4" x14ac:dyDescent="0.3">
      <c r="A1" s="1" t="s">
        <v>105</v>
      </c>
      <c r="B1" s="2"/>
      <c r="C1" s="3"/>
      <c r="D1" s="4"/>
      <c r="E1" s="5"/>
      <c r="F1" s="35"/>
      <c r="G1" s="36"/>
      <c r="H1" s="37"/>
      <c r="I1" s="38"/>
      <c r="J1" s="5"/>
      <c r="K1" s="35"/>
      <c r="L1" s="36"/>
      <c r="M1" s="37"/>
      <c r="N1" s="38"/>
      <c r="O1" s="5"/>
      <c r="P1" s="1" t="s">
        <v>93</v>
      </c>
      <c r="Q1" s="2"/>
      <c r="R1" s="3"/>
      <c r="S1" s="4"/>
    </row>
    <row r="2" spans="1:19" x14ac:dyDescent="0.3">
      <c r="A2" s="6"/>
      <c r="B2" s="6"/>
      <c r="C2" s="6"/>
      <c r="D2" s="7"/>
      <c r="E2" s="6"/>
      <c r="F2" s="6"/>
      <c r="G2" s="6"/>
      <c r="H2" s="6"/>
      <c r="I2" s="7"/>
      <c r="J2" s="6"/>
      <c r="K2" s="6"/>
      <c r="L2" s="6"/>
      <c r="M2" s="6"/>
      <c r="N2" s="7"/>
      <c r="O2" s="6"/>
      <c r="P2" s="6"/>
      <c r="Q2" s="6"/>
      <c r="R2" s="6"/>
      <c r="S2" s="7"/>
    </row>
    <row r="3" spans="1:19" x14ac:dyDescent="0.3">
      <c r="A3" s="8" t="s">
        <v>94</v>
      </c>
      <c r="B3" s="8" t="s">
        <v>95</v>
      </c>
      <c r="C3" s="8" t="s">
        <v>96</v>
      </c>
      <c r="D3" s="9" t="s">
        <v>97</v>
      </c>
      <c r="E3" s="6"/>
      <c r="F3" s="8"/>
      <c r="G3" s="8"/>
      <c r="H3" s="8"/>
      <c r="I3" s="9"/>
      <c r="J3" s="6"/>
      <c r="K3" s="8"/>
      <c r="L3" s="8"/>
      <c r="M3" s="8"/>
      <c r="N3" s="9"/>
      <c r="O3" s="6"/>
      <c r="P3" s="8" t="s">
        <v>94</v>
      </c>
      <c r="Q3" s="8" t="s">
        <v>95</v>
      </c>
      <c r="R3" s="8" t="s">
        <v>96</v>
      </c>
      <c r="S3" s="9" t="s">
        <v>97</v>
      </c>
    </row>
    <row r="4" spans="1:19" x14ac:dyDescent="0.3">
      <c r="A4" s="10" t="s">
        <v>98</v>
      </c>
      <c r="B4" s="11" t="s">
        <v>103</v>
      </c>
      <c r="C4" s="11" t="s">
        <v>99</v>
      </c>
      <c r="D4" s="7"/>
      <c r="E4" s="6"/>
      <c r="F4" s="10"/>
      <c r="G4" s="11"/>
      <c r="H4" s="11"/>
      <c r="I4" s="7"/>
      <c r="J4" s="6"/>
      <c r="K4" s="10"/>
      <c r="L4" s="11"/>
      <c r="M4" s="11"/>
      <c r="N4" s="7"/>
      <c r="O4" s="6"/>
      <c r="P4" s="10" t="s">
        <v>98</v>
      </c>
      <c r="Q4" s="11" t="s">
        <v>100</v>
      </c>
      <c r="R4" s="11" t="s">
        <v>99</v>
      </c>
      <c r="S4" s="7"/>
    </row>
    <row r="5" spans="1:19" x14ac:dyDescent="0.3">
      <c r="A5" s="10"/>
      <c r="B5" s="11" t="s">
        <v>20</v>
      </c>
      <c r="C5" s="11" t="s">
        <v>101</v>
      </c>
      <c r="D5" s="7"/>
      <c r="E5" s="6"/>
      <c r="F5" s="10"/>
      <c r="G5" s="11"/>
      <c r="H5" s="11"/>
      <c r="I5" s="7"/>
      <c r="J5" s="6"/>
      <c r="K5" s="10"/>
      <c r="L5" s="11"/>
      <c r="M5" s="11"/>
      <c r="N5" s="7"/>
      <c r="O5" s="6"/>
      <c r="P5" s="10"/>
      <c r="Q5" s="11" t="s">
        <v>102</v>
      </c>
      <c r="R5" s="11" t="s">
        <v>101</v>
      </c>
      <c r="S5" s="7"/>
    </row>
    <row r="6" spans="1:19" x14ac:dyDescent="0.3">
      <c r="A6" s="10"/>
      <c r="B6" s="13" t="s">
        <v>23</v>
      </c>
      <c r="C6" s="15" t="s">
        <v>121</v>
      </c>
      <c r="D6" s="7"/>
      <c r="E6" s="6"/>
      <c r="F6" s="10"/>
      <c r="G6" s="11"/>
      <c r="H6" s="11"/>
      <c r="I6" s="7"/>
      <c r="J6" s="6"/>
      <c r="K6" s="10"/>
      <c r="L6" s="11"/>
      <c r="M6" s="11"/>
      <c r="N6" s="7"/>
      <c r="O6" s="6"/>
      <c r="P6" s="6"/>
      <c r="Q6" s="6"/>
      <c r="R6" s="6"/>
      <c r="S6" s="6"/>
    </row>
    <row r="7" spans="1:19" x14ac:dyDescent="0.3">
      <c r="A7" s="12"/>
      <c r="B7" s="11" t="s">
        <v>21</v>
      </c>
      <c r="C7" s="11" t="s">
        <v>104</v>
      </c>
      <c r="D7" s="7"/>
      <c r="E7" s="6"/>
      <c r="F7" s="12"/>
      <c r="G7" s="13"/>
      <c r="H7" s="13"/>
      <c r="I7" s="7"/>
      <c r="J7" s="6"/>
      <c r="K7" s="12"/>
      <c r="L7" s="13"/>
      <c r="M7" s="13"/>
      <c r="N7" s="7"/>
      <c r="O7" s="6"/>
      <c r="P7" s="6"/>
      <c r="Q7" s="6"/>
      <c r="R7" s="6"/>
      <c r="S7" s="6"/>
    </row>
    <row r="8" spans="1:19" x14ac:dyDescent="0.3">
      <c r="A8" s="14"/>
      <c r="B8" s="13" t="s">
        <v>22</v>
      </c>
      <c r="C8" s="13" t="s">
        <v>99</v>
      </c>
      <c r="D8" s="7"/>
      <c r="E8" s="6"/>
      <c r="F8" s="14"/>
      <c r="G8" s="13"/>
      <c r="H8" s="15"/>
      <c r="I8" s="7"/>
      <c r="J8" s="6"/>
      <c r="K8" s="14"/>
      <c r="L8" s="13"/>
      <c r="M8" s="15"/>
      <c r="N8" s="7"/>
      <c r="O8" s="6"/>
      <c r="P8" s="6"/>
      <c r="Q8" s="6"/>
      <c r="R8" s="6"/>
      <c r="S8" s="6"/>
    </row>
    <row r="9" spans="1:19" x14ac:dyDescent="0.3">
      <c r="A9" s="14"/>
      <c r="B9" s="13" t="s">
        <v>24</v>
      </c>
      <c r="C9" s="15" t="s">
        <v>99</v>
      </c>
      <c r="D9" s="7"/>
      <c r="E9" s="6"/>
      <c r="F9" s="14"/>
      <c r="G9" s="13"/>
      <c r="H9" s="15"/>
      <c r="I9" s="7"/>
      <c r="J9" s="6"/>
      <c r="K9" s="14"/>
      <c r="L9" s="13"/>
      <c r="M9" s="15"/>
      <c r="N9" s="7"/>
      <c r="O9" s="6"/>
      <c r="P9" s="6"/>
      <c r="Q9" s="6"/>
      <c r="R9" s="6"/>
      <c r="S9" s="6"/>
    </row>
    <row r="10" spans="1:19" x14ac:dyDescent="0.3">
      <c r="A10" s="12"/>
      <c r="B10" s="16" t="s">
        <v>122</v>
      </c>
      <c r="C10" s="40" t="s">
        <v>99</v>
      </c>
      <c r="D10" s="7"/>
      <c r="E10" s="6"/>
      <c r="F10" s="12"/>
      <c r="G10" s="13"/>
      <c r="H10" s="15"/>
      <c r="I10" s="7"/>
      <c r="J10" s="6"/>
      <c r="K10" s="12"/>
      <c r="L10" s="13"/>
      <c r="M10" s="15"/>
      <c r="N10" s="7"/>
      <c r="O10" s="6"/>
      <c r="P10" s="6"/>
      <c r="Q10" s="6"/>
      <c r="R10" s="6"/>
      <c r="S10" s="6"/>
    </row>
    <row r="11" spans="1:19" x14ac:dyDescent="0.3">
      <c r="A11" s="12"/>
      <c r="B11" s="40" t="s">
        <v>106</v>
      </c>
      <c r="C11" s="40" t="s">
        <v>99</v>
      </c>
      <c r="D11" s="17"/>
      <c r="E11" s="6"/>
      <c r="F11" s="12"/>
      <c r="G11" s="16"/>
      <c r="H11" s="15"/>
      <c r="I11" s="17"/>
      <c r="J11" s="6"/>
      <c r="K11" s="12"/>
      <c r="L11" s="16"/>
      <c r="M11" s="15"/>
      <c r="N11" s="17"/>
      <c r="O11" s="6"/>
      <c r="P11" s="6"/>
      <c r="Q11" s="6"/>
      <c r="R11" s="6"/>
      <c r="S11" s="6"/>
    </row>
    <row r="12" spans="1:19" x14ac:dyDescent="0.3">
      <c r="A12" s="12"/>
      <c r="B12" s="16" t="s">
        <v>92</v>
      </c>
      <c r="C12" s="15" t="s">
        <v>99</v>
      </c>
      <c r="D12" s="1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3">
      <c r="A13" s="12"/>
      <c r="B13" s="13" t="s">
        <v>116</v>
      </c>
      <c r="C13" s="15" t="s">
        <v>99</v>
      </c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3">
      <c r="A14" s="12"/>
      <c r="B14" s="40" t="s">
        <v>117</v>
      </c>
      <c r="C14" s="40" t="s">
        <v>123</v>
      </c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3">
      <c r="A15" s="20"/>
      <c r="B15" s="40" t="s">
        <v>118</v>
      </c>
      <c r="C15" s="40" t="s">
        <v>99</v>
      </c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3">
      <c r="A16" s="20"/>
      <c r="B16" s="40" t="s">
        <v>119</v>
      </c>
      <c r="C16" s="40" t="s">
        <v>123</v>
      </c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x14ac:dyDescent="0.3">
      <c r="A17" s="20"/>
      <c r="B17" s="40" t="s">
        <v>120</v>
      </c>
      <c r="C17" s="40" t="s">
        <v>99</v>
      </c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x14ac:dyDescent="0.3">
      <c r="A18" s="20"/>
      <c r="B18" s="13" t="s">
        <v>124</v>
      </c>
      <c r="C18" s="15" t="s">
        <v>99</v>
      </c>
      <c r="D18" s="7" t="s">
        <v>98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x14ac:dyDescent="0.3">
      <c r="A19" s="20"/>
      <c r="B19" s="40" t="s">
        <v>125</v>
      </c>
      <c r="C19" s="40" t="s">
        <v>123</v>
      </c>
      <c r="D19" s="7" t="s">
        <v>98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3">
      <c r="B20" s="18"/>
      <c r="C20" s="19"/>
      <c r="D20" s="40"/>
    </row>
    <row r="21" spans="1:19" x14ac:dyDescent="0.3">
      <c r="B21" s="40"/>
      <c r="C21" s="40"/>
      <c r="D21" s="40"/>
    </row>
    <row r="22" spans="1:19" x14ac:dyDescent="0.3">
      <c r="B22" s="40"/>
      <c r="C22" s="40"/>
      <c r="D22" s="40"/>
    </row>
    <row r="23" spans="1:19" x14ac:dyDescent="0.3">
      <c r="B23" s="40"/>
      <c r="C23" s="40"/>
      <c r="D23" s="40"/>
    </row>
    <row r="24" spans="1:19" x14ac:dyDescent="0.3">
      <c r="B24" s="40"/>
      <c r="C24" s="40"/>
      <c r="D24" s="40"/>
    </row>
    <row r="25" spans="1:19" x14ac:dyDescent="0.3">
      <c r="B25" s="40"/>
      <c r="C25" s="40"/>
      <c r="D25" s="40"/>
    </row>
    <row r="26" spans="1:19" x14ac:dyDescent="0.3">
      <c r="B26" s="40"/>
      <c r="C26" s="40"/>
      <c r="D26" s="40"/>
    </row>
    <row r="27" spans="1:19" x14ac:dyDescent="0.3">
      <c r="B27" s="40"/>
      <c r="C27" s="40"/>
      <c r="D27" s="40"/>
    </row>
    <row r="28" spans="1:19" x14ac:dyDescent="0.3">
      <c r="B28" s="40"/>
      <c r="C28" s="40"/>
      <c r="D28" s="40"/>
    </row>
    <row r="29" spans="1:19" x14ac:dyDescent="0.3">
      <c r="B29" s="40"/>
      <c r="C29" s="40"/>
      <c r="D29" s="40"/>
    </row>
    <row r="30" spans="1:19" x14ac:dyDescent="0.3">
      <c r="B30" s="39"/>
      <c r="C30" s="39"/>
    </row>
    <row r="31" spans="1:19" x14ac:dyDescent="0.3">
      <c r="B31" s="39"/>
      <c r="C31" s="3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CI_UNIDAD_OPERATIVA</vt:lpstr>
      <vt:lpstr>UNIDAD OPERATIVA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Hinojosa</dc:creator>
  <cp:lastModifiedBy>Hector A. Gonzalez</cp:lastModifiedBy>
  <cp:lastPrinted>2018-10-09T23:26:15Z</cp:lastPrinted>
  <dcterms:created xsi:type="dcterms:W3CDTF">2018-02-08T20:11:10Z</dcterms:created>
  <dcterms:modified xsi:type="dcterms:W3CDTF">2018-10-27T15:44:42Z</dcterms:modified>
</cp:coreProperties>
</file>