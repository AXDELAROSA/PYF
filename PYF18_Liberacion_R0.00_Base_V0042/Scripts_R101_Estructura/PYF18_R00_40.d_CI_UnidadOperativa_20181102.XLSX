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1.Tomza_HGF\TI_TecnologiaInformacion\Workbook\PYF18_Finanzas\4.Construccion\CodigoSQL\PYF18_Liberacion_R0.00_Base_V0036b\Scripts_R101_Estructura\"/>
    </mc:Choice>
  </mc:AlternateContent>
  <bookViews>
    <workbookView xWindow="0" yWindow="0" windowWidth="20496" windowHeight="7752"/>
  </bookViews>
  <sheets>
    <sheet name="CI_UNIDAD_OPERATIVA" sheetId="3" r:id="rId1"/>
    <sheet name="UNIDAD OPERATIVA" sheetId="4" r:id="rId2"/>
  </sheets>
  <definedNames>
    <definedName name="_xlnm._FilterDatabase" localSheetId="0" hidden="1">CI_UNIDAD_OPERATIVA!$A$1:$Z$171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8" i="3" l="1"/>
  <c r="E167" i="3"/>
  <c r="E166" i="3"/>
  <c r="E165" i="3"/>
  <c r="E164" i="3"/>
  <c r="E163" i="3"/>
  <c r="G163" i="3" s="1"/>
  <c r="E162" i="3"/>
  <c r="E161" i="3"/>
  <c r="F161" i="3" s="1"/>
  <c r="E160" i="3"/>
  <c r="E159" i="3"/>
  <c r="E158" i="3"/>
  <c r="E157" i="3"/>
  <c r="E156" i="3"/>
  <c r="E155" i="3"/>
  <c r="F155" i="3" s="1"/>
  <c r="E154" i="3"/>
  <c r="E153" i="3"/>
  <c r="F153" i="3" s="1"/>
  <c r="E152" i="3"/>
  <c r="E151" i="3"/>
  <c r="E150" i="3"/>
  <c r="E149" i="3"/>
  <c r="E148" i="3"/>
  <c r="E147" i="3"/>
  <c r="G147" i="3" s="1"/>
  <c r="E146" i="3"/>
  <c r="E145" i="3"/>
  <c r="F145" i="3" s="1"/>
  <c r="E144" i="3"/>
  <c r="E143" i="3"/>
  <c r="E142" i="3"/>
  <c r="E141" i="3"/>
  <c r="E140" i="3"/>
  <c r="E139" i="3"/>
  <c r="G139" i="3" s="1"/>
  <c r="E138" i="3"/>
  <c r="E137" i="3"/>
  <c r="F137" i="3" s="1"/>
  <c r="E136" i="3"/>
  <c r="E135" i="3"/>
  <c r="E134" i="3"/>
  <c r="E133" i="3"/>
  <c r="E132" i="3"/>
  <c r="E131" i="3"/>
  <c r="G131" i="3" s="1"/>
  <c r="E130" i="3"/>
  <c r="E129" i="3"/>
  <c r="F129" i="3" s="1"/>
  <c r="E128" i="3"/>
  <c r="E127" i="3"/>
  <c r="E126" i="3"/>
  <c r="E125" i="3"/>
  <c r="E124" i="3"/>
  <c r="E123" i="3"/>
  <c r="G123" i="3" s="1"/>
  <c r="E122" i="3"/>
  <c r="E121" i="3"/>
  <c r="F121" i="3" s="1"/>
  <c r="E120" i="3"/>
  <c r="E119" i="3"/>
  <c r="E118" i="3"/>
  <c r="E117" i="3"/>
  <c r="E116" i="3"/>
  <c r="E115" i="3"/>
  <c r="G115" i="3" s="1"/>
  <c r="E114" i="3"/>
  <c r="E113" i="3"/>
  <c r="F113" i="3" s="1"/>
  <c r="E112" i="3"/>
  <c r="E111" i="3"/>
  <c r="E110" i="3"/>
  <c r="E109" i="3"/>
  <c r="E108" i="3"/>
  <c r="E107" i="3"/>
  <c r="F107" i="3" s="1"/>
  <c r="E106" i="3"/>
  <c r="E105" i="3"/>
  <c r="F105" i="3" s="1"/>
  <c r="E104" i="3"/>
  <c r="E103" i="3"/>
  <c r="E102" i="3"/>
  <c r="E101" i="3"/>
  <c r="E100" i="3"/>
  <c r="E99" i="3"/>
  <c r="G99" i="3" s="1"/>
  <c r="E98" i="3"/>
  <c r="E97" i="3"/>
  <c r="F97" i="3" s="1"/>
  <c r="E96" i="3"/>
  <c r="E95" i="3"/>
  <c r="E94" i="3"/>
  <c r="E93" i="3"/>
  <c r="E92" i="3"/>
  <c r="E91" i="3"/>
  <c r="F91" i="3" s="1"/>
  <c r="E90" i="3"/>
  <c r="E89" i="3"/>
  <c r="F89" i="3" s="1"/>
  <c r="E88" i="3"/>
  <c r="F88" i="3" s="1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F168" i="3"/>
  <c r="F167" i="3"/>
  <c r="F166" i="3"/>
  <c r="F165" i="3"/>
  <c r="F164" i="3"/>
  <c r="F162" i="3"/>
  <c r="F160" i="3"/>
  <c r="F159" i="3"/>
  <c r="F158" i="3"/>
  <c r="F157" i="3"/>
  <c r="F156" i="3"/>
  <c r="F154" i="3"/>
  <c r="F152" i="3"/>
  <c r="F151" i="3"/>
  <c r="F150" i="3"/>
  <c r="F149" i="3"/>
  <c r="F148" i="3"/>
  <c r="F147" i="3"/>
  <c r="F146" i="3"/>
  <c r="F144" i="3"/>
  <c r="F143" i="3"/>
  <c r="F142" i="3"/>
  <c r="F141" i="3"/>
  <c r="F140" i="3"/>
  <c r="F138" i="3"/>
  <c r="F136" i="3"/>
  <c r="F135" i="3"/>
  <c r="F134" i="3"/>
  <c r="F133" i="3"/>
  <c r="F132" i="3"/>
  <c r="F130" i="3"/>
  <c r="F128" i="3"/>
  <c r="F127" i="3"/>
  <c r="F126" i="3"/>
  <c r="F125" i="3"/>
  <c r="F124" i="3"/>
  <c r="F122" i="3"/>
  <c r="F120" i="3"/>
  <c r="F119" i="3"/>
  <c r="F118" i="3"/>
  <c r="F117" i="3"/>
  <c r="F116" i="3"/>
  <c r="F114" i="3"/>
  <c r="F112" i="3"/>
  <c r="F111" i="3"/>
  <c r="F110" i="3"/>
  <c r="F109" i="3"/>
  <c r="F108" i="3"/>
  <c r="F106" i="3"/>
  <c r="F104" i="3"/>
  <c r="F103" i="3"/>
  <c r="F102" i="3"/>
  <c r="F101" i="3"/>
  <c r="F100" i="3"/>
  <c r="F98" i="3"/>
  <c r="F96" i="3"/>
  <c r="F95" i="3"/>
  <c r="F94" i="3"/>
  <c r="F93" i="3"/>
  <c r="F92" i="3"/>
  <c r="F90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88" i="3"/>
  <c r="G168" i="3"/>
  <c r="G167" i="3"/>
  <c r="G166" i="3"/>
  <c r="G165" i="3"/>
  <c r="G164" i="3"/>
  <c r="G162" i="3"/>
  <c r="G160" i="3"/>
  <c r="G159" i="3"/>
  <c r="G158" i="3"/>
  <c r="G157" i="3"/>
  <c r="G156" i="3"/>
  <c r="G155" i="3"/>
  <c r="G154" i="3"/>
  <c r="G152" i="3"/>
  <c r="G151" i="3"/>
  <c r="G150" i="3"/>
  <c r="G149" i="3"/>
  <c r="G148" i="3"/>
  <c r="G146" i="3"/>
  <c r="G144" i="3"/>
  <c r="G143" i="3"/>
  <c r="G142" i="3"/>
  <c r="G141" i="3"/>
  <c r="G140" i="3"/>
  <c r="G138" i="3"/>
  <c r="G136" i="3"/>
  <c r="G135" i="3"/>
  <c r="G134" i="3"/>
  <c r="G133" i="3"/>
  <c r="G132" i="3"/>
  <c r="G130" i="3"/>
  <c r="G128" i="3"/>
  <c r="G127" i="3"/>
  <c r="G126" i="3"/>
  <c r="G125" i="3"/>
  <c r="G124" i="3"/>
  <c r="G122" i="3"/>
  <c r="G120" i="3"/>
  <c r="G119" i="3"/>
  <c r="G118" i="3"/>
  <c r="G117" i="3"/>
  <c r="G116" i="3"/>
  <c r="G114" i="3"/>
  <c r="G112" i="3"/>
  <c r="G111" i="3"/>
  <c r="G110" i="3"/>
  <c r="G109" i="3"/>
  <c r="G108" i="3"/>
  <c r="G106" i="3"/>
  <c r="G104" i="3"/>
  <c r="G103" i="3"/>
  <c r="G102" i="3"/>
  <c r="G101" i="3"/>
  <c r="G100" i="3"/>
  <c r="G98" i="3"/>
  <c r="G96" i="3"/>
  <c r="G95" i="3"/>
  <c r="G94" i="3"/>
  <c r="G93" i="3"/>
  <c r="G92" i="3"/>
  <c r="G91" i="3"/>
  <c r="G90" i="3"/>
  <c r="G88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Z157" i="3" s="1"/>
  <c r="H156" i="3"/>
  <c r="H155" i="3"/>
  <c r="H154" i="3"/>
  <c r="H153" i="3"/>
  <c r="H152" i="3"/>
  <c r="H151" i="3"/>
  <c r="H150" i="3"/>
  <c r="H149" i="3"/>
  <c r="Z149" i="3" s="1"/>
  <c r="H148" i="3"/>
  <c r="H147" i="3"/>
  <c r="H146" i="3"/>
  <c r="H145" i="3"/>
  <c r="H144" i="3"/>
  <c r="H143" i="3"/>
  <c r="H142" i="3"/>
  <c r="H141" i="3"/>
  <c r="Z141" i="3" s="1"/>
  <c r="H140" i="3"/>
  <c r="H139" i="3"/>
  <c r="H138" i="3"/>
  <c r="H137" i="3"/>
  <c r="H136" i="3"/>
  <c r="H135" i="3"/>
  <c r="H134" i="3"/>
  <c r="H133" i="3"/>
  <c r="Z133" i="3" s="1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Z93" i="3" s="1"/>
  <c r="H92" i="3"/>
  <c r="H91" i="3"/>
  <c r="H90" i="3"/>
  <c r="H89" i="3"/>
  <c r="H88" i="3"/>
  <c r="G107" i="3" l="1"/>
  <c r="F99" i="3"/>
  <c r="F163" i="3"/>
  <c r="Z109" i="3"/>
  <c r="F139" i="3"/>
  <c r="Z165" i="3"/>
  <c r="F131" i="3"/>
  <c r="Z131" i="3" s="1"/>
  <c r="F123" i="3"/>
  <c r="Z123" i="3" s="1"/>
  <c r="Z101" i="3"/>
  <c r="F115" i="3"/>
  <c r="Z166" i="3"/>
  <c r="Z150" i="3"/>
  <c r="Z118" i="3"/>
  <c r="Z117" i="3"/>
  <c r="Z125" i="3"/>
  <c r="G89" i="3"/>
  <c r="G97" i="3"/>
  <c r="G105" i="3"/>
  <c r="G113" i="3"/>
  <c r="G121" i="3"/>
  <c r="G129" i="3"/>
  <c r="G137" i="3"/>
  <c r="G145" i="3"/>
  <c r="G153" i="3"/>
  <c r="G161" i="3"/>
  <c r="Z122" i="3"/>
  <c r="Z90" i="3"/>
  <c r="Z95" i="3"/>
  <c r="Z135" i="3"/>
  <c r="Z130" i="3"/>
  <c r="Z146" i="3"/>
  <c r="Z102" i="3"/>
  <c r="Z126" i="3"/>
  <c r="Z134" i="3"/>
  <c r="Z142" i="3"/>
  <c r="Z158" i="3"/>
  <c r="Z103" i="3"/>
  <c r="Z127" i="3"/>
  <c r="Z167" i="3"/>
  <c r="Z168" i="3"/>
  <c r="Z160" i="3"/>
  <c r="Z152" i="3"/>
  <c r="Z144" i="3"/>
  <c r="Z136" i="3"/>
  <c r="Z128" i="3"/>
  <c r="Z120" i="3"/>
  <c r="Z112" i="3"/>
  <c r="Z104" i="3"/>
  <c r="Z96" i="3"/>
  <c r="Z143" i="3"/>
  <c r="Z151" i="3"/>
  <c r="Z159" i="3"/>
  <c r="Z94" i="3"/>
  <c r="Z110" i="3"/>
  <c r="Z111" i="3"/>
  <c r="Z119" i="3"/>
  <c r="Z98" i="3"/>
  <c r="Z106" i="3"/>
  <c r="Z114" i="3"/>
  <c r="Z138" i="3"/>
  <c r="Z154" i="3"/>
  <c r="Z162" i="3"/>
  <c r="Z88" i="3"/>
  <c r="Z89" i="3"/>
  <c r="Z97" i="3"/>
  <c r="Z105" i="3"/>
  <c r="Z113" i="3"/>
  <c r="Z121" i="3"/>
  <c r="Z129" i="3"/>
  <c r="Z137" i="3"/>
  <c r="Z145" i="3"/>
  <c r="Z153" i="3"/>
  <c r="Z161" i="3"/>
  <c r="Z99" i="3"/>
  <c r="Z107" i="3"/>
  <c r="Z115" i="3"/>
  <c r="Z139" i="3"/>
  <c r="Z147" i="3"/>
  <c r="Z155" i="3"/>
  <c r="Z163" i="3"/>
  <c r="Z91" i="3"/>
  <c r="Z92" i="3"/>
  <c r="Z100" i="3"/>
  <c r="Z108" i="3"/>
  <c r="Z116" i="3"/>
  <c r="Z124" i="3"/>
  <c r="Z132" i="3"/>
  <c r="Z140" i="3"/>
  <c r="Z148" i="3"/>
  <c r="Z156" i="3"/>
  <c r="Z164" i="3"/>
  <c r="Z1" i="3" l="1"/>
  <c r="Z2" i="3"/>
  <c r="Z86" i="3"/>
  <c r="H85" i="3" l="1"/>
  <c r="Z85" i="3" s="1"/>
  <c r="H84" i="3"/>
  <c r="Z84" i="3" s="1"/>
  <c r="H83" i="3"/>
  <c r="Z83" i="3" s="1"/>
  <c r="H82" i="3"/>
  <c r="Z82" i="3" s="1"/>
  <c r="H81" i="3"/>
  <c r="Z81" i="3" s="1"/>
  <c r="H80" i="3"/>
  <c r="Z80" i="3" s="1"/>
  <c r="H79" i="3"/>
  <c r="Z79" i="3" s="1"/>
  <c r="H78" i="3"/>
  <c r="Z78" i="3" s="1"/>
  <c r="H77" i="3"/>
  <c r="Z77" i="3" s="1"/>
  <c r="H76" i="3"/>
  <c r="Z76" i="3" s="1"/>
  <c r="H75" i="3"/>
  <c r="Z75" i="3" s="1"/>
  <c r="H74" i="3"/>
  <c r="Z74" i="3" s="1"/>
  <c r="H73" i="3"/>
  <c r="Z73" i="3" s="1"/>
  <c r="H72" i="3"/>
  <c r="Z72" i="3" s="1"/>
  <c r="H71" i="3"/>
  <c r="Z71" i="3" s="1"/>
  <c r="H70" i="3"/>
  <c r="Z70" i="3" s="1"/>
  <c r="H69" i="3"/>
  <c r="Z69" i="3" s="1"/>
  <c r="H68" i="3"/>
  <c r="Z68" i="3" s="1"/>
  <c r="H67" i="3"/>
  <c r="Z67" i="3" s="1"/>
  <c r="H66" i="3"/>
  <c r="Z66" i="3" s="1"/>
  <c r="H65" i="3"/>
  <c r="Z65" i="3" s="1"/>
  <c r="H64" i="3"/>
  <c r="Z64" i="3" s="1"/>
  <c r="H63" i="3"/>
  <c r="Z63" i="3" s="1"/>
  <c r="H62" i="3"/>
  <c r="Z62" i="3" s="1"/>
  <c r="H61" i="3"/>
  <c r="Z61" i="3" s="1"/>
  <c r="H60" i="3"/>
  <c r="Z60" i="3" s="1"/>
  <c r="H59" i="3"/>
  <c r="Z59" i="3" s="1"/>
  <c r="H58" i="3"/>
  <c r="Z58" i="3" s="1"/>
  <c r="H57" i="3"/>
  <c r="Z57" i="3" s="1"/>
  <c r="H56" i="3"/>
  <c r="Z56" i="3" s="1"/>
  <c r="H55" i="3"/>
  <c r="Z55" i="3" s="1"/>
  <c r="H54" i="3"/>
  <c r="Z54" i="3" s="1"/>
  <c r="H53" i="3"/>
  <c r="Z53" i="3" s="1"/>
  <c r="H52" i="3"/>
  <c r="Z52" i="3" s="1"/>
  <c r="H51" i="3"/>
  <c r="Z51" i="3" s="1"/>
  <c r="H50" i="3"/>
  <c r="Z50" i="3" s="1"/>
  <c r="H49" i="3"/>
  <c r="Z49" i="3" s="1"/>
  <c r="H48" i="3"/>
  <c r="Z48" i="3" s="1"/>
  <c r="H47" i="3"/>
  <c r="Z47" i="3" s="1"/>
  <c r="H46" i="3"/>
  <c r="Z46" i="3" s="1"/>
  <c r="H45" i="3"/>
  <c r="Z45" i="3" s="1"/>
  <c r="H44" i="3"/>
  <c r="Z44" i="3" s="1"/>
  <c r="H43" i="3"/>
  <c r="Z43" i="3" s="1"/>
  <c r="H42" i="3"/>
  <c r="Z42" i="3" s="1"/>
  <c r="H41" i="3"/>
  <c r="Z41" i="3" s="1"/>
  <c r="H40" i="3"/>
  <c r="Z40" i="3" s="1"/>
  <c r="H39" i="3"/>
  <c r="Z39" i="3" s="1"/>
  <c r="H38" i="3"/>
  <c r="Z38" i="3" s="1"/>
  <c r="H37" i="3"/>
  <c r="Z37" i="3" s="1"/>
  <c r="H36" i="3"/>
  <c r="Z36" i="3" s="1"/>
  <c r="H35" i="3"/>
  <c r="Z35" i="3" s="1"/>
  <c r="H34" i="3"/>
  <c r="Z34" i="3" s="1"/>
  <c r="H33" i="3"/>
  <c r="Z33" i="3" s="1"/>
  <c r="H32" i="3"/>
  <c r="Z32" i="3" s="1"/>
  <c r="H31" i="3"/>
  <c r="Z31" i="3" s="1"/>
  <c r="H30" i="3"/>
  <c r="Z30" i="3" s="1"/>
  <c r="H29" i="3"/>
  <c r="Z29" i="3" s="1"/>
  <c r="H28" i="3"/>
  <c r="Z28" i="3" s="1"/>
  <c r="H27" i="3"/>
  <c r="Z27" i="3" s="1"/>
  <c r="H26" i="3"/>
  <c r="Z26" i="3" s="1"/>
  <c r="H25" i="3"/>
  <c r="Z25" i="3" s="1"/>
  <c r="H24" i="3"/>
  <c r="Z24" i="3" s="1"/>
  <c r="H23" i="3"/>
  <c r="Z23" i="3" s="1"/>
  <c r="H22" i="3"/>
  <c r="Z22" i="3" s="1"/>
  <c r="H21" i="3"/>
  <c r="Z21" i="3" s="1"/>
  <c r="H20" i="3"/>
  <c r="Z20" i="3" s="1"/>
  <c r="H19" i="3"/>
  <c r="Z19" i="3" s="1"/>
  <c r="H18" i="3"/>
  <c r="Z18" i="3" s="1"/>
  <c r="H17" i="3"/>
  <c r="Z17" i="3" s="1"/>
  <c r="H16" i="3"/>
  <c r="Z16" i="3" s="1"/>
  <c r="H15" i="3"/>
  <c r="Z15" i="3" s="1"/>
  <c r="H14" i="3"/>
  <c r="Z14" i="3" s="1"/>
  <c r="H13" i="3"/>
  <c r="Z13" i="3" s="1"/>
  <c r="H12" i="3"/>
  <c r="Z12" i="3" s="1"/>
  <c r="H11" i="3"/>
  <c r="Z11" i="3" s="1"/>
  <c r="H10" i="3"/>
  <c r="Z10" i="3" s="1"/>
  <c r="H9" i="3"/>
  <c r="Z9" i="3" s="1"/>
  <c r="H8" i="3"/>
  <c r="Z8" i="3" s="1"/>
  <c r="H7" i="3"/>
  <c r="Z7" i="3" s="1"/>
  <c r="H6" i="3"/>
  <c r="Z6" i="3" s="1"/>
  <c r="H5" i="3"/>
  <c r="Z5" i="3" s="1"/>
  <c r="H4" i="3"/>
  <c r="Z4" i="3" s="1"/>
  <c r="H3" i="3"/>
  <c r="Z3" i="3" s="1"/>
</calcChain>
</file>

<file path=xl/sharedStrings.xml><?xml version="1.0" encoding="utf-8"?>
<sst xmlns="http://schemas.openxmlformats.org/spreadsheetml/2006/main" count="2312" uniqueCount="301">
  <si>
    <t>GUADALUPE</t>
  </si>
  <si>
    <t>PARRAL</t>
  </si>
  <si>
    <t>BIOGAS</t>
  </si>
  <si>
    <t>LAS SIERRA</t>
  </si>
  <si>
    <t>PALOMAS</t>
  </si>
  <si>
    <t>PUEBLO</t>
  </si>
  <si>
    <t>HIDRO I</t>
  </si>
  <si>
    <t>FLORES MAGON</t>
  </si>
  <si>
    <t>DELICIAS</t>
  </si>
  <si>
    <t>MARKETING</t>
  </si>
  <si>
    <t>ASCENSION</t>
  </si>
  <si>
    <t>OJINAGA</t>
  </si>
  <si>
    <t>UNIGAS MATRIZ</t>
  </si>
  <si>
    <t>BUENAVENTURA</t>
  </si>
  <si>
    <t>CAMARGO</t>
  </si>
  <si>
    <t>BENITO JUAREZ</t>
  </si>
  <si>
    <t>HIDRO II</t>
  </si>
  <si>
    <t>L_DEBUG</t>
  </si>
  <si>
    <t>K_SISTEMA_EXE</t>
  </si>
  <si>
    <t>[K_UNIDAD_OPERATIVA]</t>
  </si>
  <si>
    <t>[D_UNIDAD_OPERATIVA]</t>
  </si>
  <si>
    <t>[S_UNIDAD_OPERATIVA]</t>
  </si>
  <si>
    <t>[O_UNIDAD_OPERATIVA]</t>
  </si>
  <si>
    <t>[C_UNIDAD_OPERATIVA]</t>
  </si>
  <si>
    <t>[L_UNIDAD_OPERATIVA]</t>
  </si>
  <si>
    <t>GAS CHAPULTEPEC</t>
  </si>
  <si>
    <t>GAS TOMZA DE PUEBLA</t>
  </si>
  <si>
    <t>GAS Y SERVICIO</t>
  </si>
  <si>
    <t>GASOMATICO</t>
  </si>
  <si>
    <t>GTM-TEPEJI</t>
  </si>
  <si>
    <t>MEXICANA DE GAS</t>
  </si>
  <si>
    <t>UNIGAS TLAHUAC</t>
  </si>
  <si>
    <t>UNIGAS TOLUCA</t>
  </si>
  <si>
    <t>TEHUACAN</t>
  </si>
  <si>
    <t>SAN LUIS POTOSI</t>
  </si>
  <si>
    <t>QUERETARO</t>
  </si>
  <si>
    <t>GAS URIBE</t>
  </si>
  <si>
    <t>ZAPOPAN</t>
  </si>
  <si>
    <t>HIDROGAS ACAPULCO</t>
  </si>
  <si>
    <t>MORELOS</t>
  </si>
  <si>
    <t>Sin Asignar</t>
  </si>
  <si>
    <t>TIJUANA</t>
  </si>
  <si>
    <t>MEXICALI</t>
  </si>
  <si>
    <t>ENSENADA</t>
  </si>
  <si>
    <t>HERMOSILLO</t>
  </si>
  <si>
    <t>URES</t>
  </si>
  <si>
    <t>AGUAPRIETA</t>
  </si>
  <si>
    <t>CANANEA</t>
  </si>
  <si>
    <t>NACO</t>
  </si>
  <si>
    <t>NACOZARI</t>
  </si>
  <si>
    <t>NOGALES</t>
  </si>
  <si>
    <t>SANTA ANA</t>
  </si>
  <si>
    <t>CABORCA</t>
  </si>
  <si>
    <t>PUERTO PEÑASCO</t>
  </si>
  <si>
    <t>GUAYMAS</t>
  </si>
  <si>
    <t>OBREGON</t>
  </si>
  <si>
    <t>NAVOJOA</t>
  </si>
  <si>
    <t>SAN LUIS RIO COLORADO</t>
  </si>
  <si>
    <t>FUNDICION</t>
  </si>
  <si>
    <t>LA LAJA</t>
  </si>
  <si>
    <t>TLAJOMULCO</t>
  </si>
  <si>
    <t>TEPATITLAN</t>
  </si>
  <si>
    <t>OCOTLAN</t>
  </si>
  <si>
    <t>YAHUALICA</t>
  </si>
  <si>
    <t>CD. GUZMAN</t>
  </si>
  <si>
    <t>AUTLAN</t>
  </si>
  <si>
    <t>GAS PRONTO</t>
  </si>
  <si>
    <t>CANCUN</t>
  </si>
  <si>
    <t>COZUMEL</t>
  </si>
  <si>
    <t>CHETUMAL</t>
  </si>
  <si>
    <t>MERIDA</t>
  </si>
  <si>
    <t>TICUL</t>
  </si>
  <si>
    <t>CAMPECHE</t>
  </si>
  <si>
    <t>CD. DEL CARMEN</t>
  </si>
  <si>
    <t>MINATITLAN</t>
  </si>
  <si>
    <t>PROGRESO</t>
  </si>
  <si>
    <t>AGUASCALIENTES</t>
  </si>
  <si>
    <t>SAN QUINTIN</t>
  </si>
  <si>
    <t>MAMEME GAS</t>
  </si>
  <si>
    <t>PLAYA DEL CARMEN</t>
  </si>
  <si>
    <t>HIDALGO</t>
  </si>
  <si>
    <t>MOCHIS</t>
  </si>
  <si>
    <t>TERMINAL JUAREZ</t>
  </si>
  <si>
    <t>GUADALAJARA</t>
  </si>
  <si>
    <t>CULIACAN</t>
  </si>
  <si>
    <t>TESISTAN</t>
  </si>
  <si>
    <t>PEPSICO</t>
  </si>
  <si>
    <t>VERACRUZ</t>
  </si>
  <si>
    <t>GUANAJUATO</t>
  </si>
  <si>
    <t>GTM-TEPEJI-CDMX</t>
  </si>
  <si>
    <t>KM80</t>
  </si>
  <si>
    <t>[K_ZONA_SUCURSAL]</t>
  </si>
  <si>
    <t>[ICS_sucursalId]</t>
  </si>
  <si>
    <t>ESTRATEGIA</t>
  </si>
  <si>
    <t>PK</t>
  </si>
  <si>
    <t>Nombre Campo</t>
  </si>
  <si>
    <t>Tipo Dato</t>
  </si>
  <si>
    <t>NULL</t>
  </si>
  <si>
    <t>X</t>
  </si>
  <si>
    <t>INT</t>
  </si>
  <si>
    <t xml:space="preserve">[K_ESTRATEGIA] </t>
  </si>
  <si>
    <t>VARCHAR (100)</t>
  </si>
  <si>
    <t>[D_ESTRATEGIA]</t>
  </si>
  <si>
    <t xml:space="preserve">[K_UNIDAD_OPERATIVA] </t>
  </si>
  <si>
    <t>VARCHAR (10)</t>
  </si>
  <si>
    <t>UNIDAD OPERATIVA</t>
  </si>
  <si>
    <t>[K_ZONA_UO]</t>
  </si>
  <si>
    <t>CUAUHTEMOC</t>
  </si>
  <si>
    <t>CNCUN</t>
  </si>
  <si>
    <t>CHTMA</t>
  </si>
  <si>
    <t>CZMEL</t>
  </si>
  <si>
    <t>CUAUH</t>
  </si>
  <si>
    <t>QRTRO</t>
  </si>
  <si>
    <t>SLPTS</t>
  </si>
  <si>
    <t>VRCUZ</t>
  </si>
  <si>
    <t>S/A</t>
  </si>
  <si>
    <t>[K_USUARIO_ALTA]</t>
  </si>
  <si>
    <t>[F_ALTA]</t>
  </si>
  <si>
    <t>[K_USUARIO_CAMBIO]</t>
  </si>
  <si>
    <t>[F_CAMBIO]</t>
  </si>
  <si>
    <t>[L_BORRADO]</t>
  </si>
  <si>
    <t>VARCHAR (500)</t>
  </si>
  <si>
    <t>[K_TIPO_UO]</t>
  </si>
  <si>
    <t>DATETIME</t>
  </si>
  <si>
    <t>[K_USUARIO_BAJA]</t>
  </si>
  <si>
    <t>[F_BAJA]</t>
  </si>
  <si>
    <t>K_SERVIDOR</t>
  </si>
  <si>
    <t>K_RAZON_SOCIAL</t>
  </si>
  <si>
    <t>K_REGION</t>
  </si>
  <si>
    <t>PERMISO_CRE</t>
  </si>
  <si>
    <t>TELEFONO</t>
  </si>
  <si>
    <t>CALLE</t>
  </si>
  <si>
    <t>NUMERO_EXTERIOR</t>
  </si>
  <si>
    <t>NUMERO_INTERIOR</t>
  </si>
  <si>
    <t>COLONIA</t>
  </si>
  <si>
    <t>POBLACION</t>
  </si>
  <si>
    <t>CP</t>
  </si>
  <si>
    <t>MUNICIPIO</t>
  </si>
  <si>
    <t>MATRIZ</t>
  </si>
  <si>
    <t>''</t>
  </si>
  <si>
    <t>GUADA</t>
  </si>
  <si>
    <t>GDLPE</t>
  </si>
  <si>
    <t>PRRAL</t>
  </si>
  <si>
    <t>BIOGS</t>
  </si>
  <si>
    <t>SIERR</t>
  </si>
  <si>
    <t>PALMS</t>
  </si>
  <si>
    <t>PUBLO</t>
  </si>
  <si>
    <t>HID.1</t>
  </si>
  <si>
    <t>HID.2</t>
  </si>
  <si>
    <t>FMAGN</t>
  </si>
  <si>
    <t>DELCS</t>
  </si>
  <si>
    <t>ASCNS</t>
  </si>
  <si>
    <t>MKTNG</t>
  </si>
  <si>
    <t>OJNGA</t>
  </si>
  <si>
    <t>UNISJ</t>
  </si>
  <si>
    <t>CAMRG</t>
  </si>
  <si>
    <t>BNVTR</t>
  </si>
  <si>
    <t>BJREZ</t>
  </si>
  <si>
    <t>GCHAP</t>
  </si>
  <si>
    <t>GTPUE</t>
  </si>
  <si>
    <t>GASYS</t>
  </si>
  <si>
    <t>GSOMT</t>
  </si>
  <si>
    <t>MEXGS</t>
  </si>
  <si>
    <t>TEPJI</t>
  </si>
  <si>
    <t>UNITL</t>
  </si>
  <si>
    <t>UNITO</t>
  </si>
  <si>
    <t>TEHCN</t>
  </si>
  <si>
    <t>URIBE</t>
  </si>
  <si>
    <t>ZAPPN</t>
  </si>
  <si>
    <t>HGACA</t>
  </si>
  <si>
    <t>MORLS</t>
  </si>
  <si>
    <t>TIJNA</t>
  </si>
  <si>
    <t>MXCLI</t>
  </si>
  <si>
    <t>ENSND</t>
  </si>
  <si>
    <t>HILLO</t>
  </si>
  <si>
    <t>AGPRT</t>
  </si>
  <si>
    <t>URES_</t>
  </si>
  <si>
    <t>CANNE</t>
  </si>
  <si>
    <t>NACZA</t>
  </si>
  <si>
    <t>NOGLS</t>
  </si>
  <si>
    <t>NACO_</t>
  </si>
  <si>
    <t>STANA</t>
  </si>
  <si>
    <t>PEÑSC</t>
  </si>
  <si>
    <t>CBRCA</t>
  </si>
  <si>
    <t>GUAYM</t>
  </si>
  <si>
    <t>OBRGN</t>
  </si>
  <si>
    <t>NAVOJ</t>
  </si>
  <si>
    <t>SNLRC</t>
  </si>
  <si>
    <t>FNDCN</t>
  </si>
  <si>
    <t>LALJA</t>
  </si>
  <si>
    <t>TLAJO</t>
  </si>
  <si>
    <t>TEPAT</t>
  </si>
  <si>
    <t>OCOTL</t>
  </si>
  <si>
    <t>YAHUA</t>
  </si>
  <si>
    <t>CDGZM</t>
  </si>
  <si>
    <t>AUTLN</t>
  </si>
  <si>
    <t>GSPTO</t>
  </si>
  <si>
    <t>MERID</t>
  </si>
  <si>
    <t>CDCAR</t>
  </si>
  <si>
    <t>CMPCH</t>
  </si>
  <si>
    <t>MINAT</t>
  </si>
  <si>
    <t>PRGSO</t>
  </si>
  <si>
    <t>AGUAS</t>
  </si>
  <si>
    <t>MAMEM</t>
  </si>
  <si>
    <t>PYACA</t>
  </si>
  <si>
    <t>SNQTN</t>
  </si>
  <si>
    <t>HDLGO</t>
  </si>
  <si>
    <t>MOCHS</t>
  </si>
  <si>
    <t>JUARZ</t>
  </si>
  <si>
    <t>CULCN</t>
  </si>
  <si>
    <t>TESTN</t>
  </si>
  <si>
    <t>PEPSI</t>
  </si>
  <si>
    <t>GNJTO</t>
  </si>
  <si>
    <t>NVOCG</t>
  </si>
  <si>
    <t>KM.80</t>
  </si>
  <si>
    <t>@PP_K_RAZON_SOCIAL</t>
  </si>
  <si>
    <t>@PP_D_RAZON_SOCIAL</t>
  </si>
  <si>
    <t>GAS Y PETROLEO / GOLFO</t>
  </si>
  <si>
    <t>GAS Y PRETROLEO / JUAREZ</t>
  </si>
  <si>
    <t>BUTEP</t>
  </si>
  <si>
    <t>CHAPULTEPEC (GAS)</t>
  </si>
  <si>
    <t>GAS COMERCIAL / NUEVO CASAS GRANDES</t>
  </si>
  <si>
    <t>GAS COMERCIAL / VILLA AHUMADA</t>
  </si>
  <si>
    <t>TENABO (GAS)</t>
  </si>
  <si>
    <t>SILZA (GAS)</t>
  </si>
  <si>
    <t>TITANIUM (GAS)</t>
  </si>
  <si>
    <t>TOMZA / MEXICO (GAS)</t>
  </si>
  <si>
    <t>TOMZA / PUEBLA (GAS)</t>
  </si>
  <si>
    <t>TOMZA / YUCATAN (GAS)</t>
  </si>
  <si>
    <t>URIBE ACAPULCO (GAS)</t>
  </si>
  <si>
    <t>VULCANO (GAS)</t>
  </si>
  <si>
    <t>ZARAGOZA OJINAGA (GAS)</t>
  </si>
  <si>
    <t>HIDROGAS / AGUA PRIETA</t>
  </si>
  <si>
    <t>HIDROGAS / ACAPULCO</t>
  </si>
  <si>
    <t>HIDROGAS / CHIHUAHUA</t>
  </si>
  <si>
    <t xml:space="preserve">HOLBOX </t>
  </si>
  <si>
    <t>INZA</t>
  </si>
  <si>
    <t>MAMEME (GAS)</t>
  </si>
  <si>
    <t>UNIGAS</t>
  </si>
  <si>
    <t>AEROSILZA</t>
  </si>
  <si>
    <t>AEROTOMZA</t>
  </si>
  <si>
    <t>APPLEMEX</t>
  </si>
  <si>
    <t>ASPTA</t>
  </si>
  <si>
    <t>COLECCION ARTISTICA SILZA</t>
  </si>
  <si>
    <t>COMPAÑIA MEXICANA DE GAS COMBUSTIBLE S.A. DE C.V. TEHUACAN</t>
  </si>
  <si>
    <t>DESARROLLOS ESMERALDA</t>
  </si>
  <si>
    <t>ESTACIONES SERVICIO SILZA</t>
  </si>
  <si>
    <t>DEL PACIFICO (GAS)</t>
  </si>
  <si>
    <t>SILZA DE MEXICO (GAS)</t>
  </si>
  <si>
    <t>TOMZA DE LA LAGUNA (GAS)</t>
  </si>
  <si>
    <t>TOMZA DEL CARIBE (GAS)</t>
  </si>
  <si>
    <t>VEHICULAR SILZA (GAS)</t>
  </si>
  <si>
    <t>HIDROGAS DE OJINAGA</t>
  </si>
  <si>
    <t>INMOBILIARIA DE MEXICO GINZA</t>
  </si>
  <si>
    <t>INMOBILIARIA LOS MEDANOS</t>
  </si>
  <si>
    <t>INMOBILIARIA SILZA</t>
  </si>
  <si>
    <t>INMOBILIARIA TOMZA</t>
  </si>
  <si>
    <t>INMOBILIARIA ZARAGOZA ITO</t>
  </si>
  <si>
    <t>SR. ENRIQUE ZARAGOZA ITO</t>
  </si>
  <si>
    <t>SR. TOMAS ZARAGOZA FUENTES</t>
  </si>
  <si>
    <t>SR. TOMAS ZARAGOZA ITO</t>
  </si>
  <si>
    <t>SRITA. SILVIA ZARAGOZA ITO</t>
  </si>
  <si>
    <t>TRANSPORTADORA SILZA MX</t>
  </si>
  <si>
    <t>CORPORACION TOMZA</t>
  </si>
  <si>
    <t>SUN CITY VENTURES</t>
  </si>
  <si>
    <t>AMERICAN AIR LODGE LP</t>
  </si>
  <si>
    <t>CORPRACION E INVERSIONES TOMZA DE MEXICO</t>
  </si>
  <si>
    <t>TOMZA DE VERACRUZ (GAS)</t>
  </si>
  <si>
    <t>TERMINAL MARITIMA GAS TOMZA</t>
  </si>
  <si>
    <t>INMOBILIARES TERMINALES DE GAS 58</t>
  </si>
  <si>
    <t>INMOBILIARIA TERMINALES DE GAS 59</t>
  </si>
  <si>
    <t>SRA. MELINA SAMANTHA SANCHEZ SANTILLANA</t>
  </si>
  <si>
    <t>FUNDACION ALBERTO ZARAGOZA 61</t>
  </si>
  <si>
    <t>INMOBILIARIA ERNESIL</t>
  </si>
  <si>
    <t>INMOBILIARIA UNIGAS</t>
  </si>
  <si>
    <t>SILVIA ITO VARELA</t>
  </si>
  <si>
    <t>TRANSPORTADORA SILZA USA</t>
  </si>
  <si>
    <t>FUNDACION ALBERTO ZARAGOZA 69</t>
  </si>
  <si>
    <t>INMOBILIAIRA EZI 70</t>
  </si>
  <si>
    <t>INMOBILIARIA EZI 71</t>
  </si>
  <si>
    <t>TOMZAJET</t>
  </si>
  <si>
    <t>TRANSPORTADORA TOMZA</t>
  </si>
  <si>
    <t>GINZA HOLDING</t>
  </si>
  <si>
    <t>INMOBILIARIA AVANCE DEL NORTE</t>
  </si>
  <si>
    <t>INMOBILIARIA INDUSTRIAL Y FABRIL</t>
  </si>
  <si>
    <t>PETROLEOS Y GAS DEL GOLFO</t>
  </si>
  <si>
    <t>PETROLEOS Y GAS DEL NORTE</t>
  </si>
  <si>
    <t>TOMAS RAUL ZARAGOZA IBARRA</t>
  </si>
  <si>
    <t>CIA IMP DE GAS Y PETROLEO DE TIJUANA</t>
  </si>
  <si>
    <t>TAO</t>
  </si>
  <si>
    <t>COMPAÑIA IMPORTADORA DE GAS Y PETROLEO</t>
  </si>
  <si>
    <t>TOMZA DE SINALOA (GAS)</t>
  </si>
  <si>
    <t>HELITOMZA</t>
  </si>
  <si>
    <t>50</t>
  </si>
  <si>
    <t>0</t>
  </si>
  <si>
    <t>10</t>
  </si>
  <si>
    <t>20</t>
  </si>
  <si>
    <t>30</t>
  </si>
  <si>
    <t>40</t>
  </si>
  <si>
    <t>60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</si>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</sst>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2060"/>
      <name val="Calibri"/>
      <family val="2"/>
      <scheme val="minor"/>
    </font>
    <font>
      <b/>
      <sz val="9"/>
      <color theme="1" tint="0.249977111117893"/>
      <name val="Calibri"/>
      <family val="2"/>
      <scheme val="minor"/>
    </font>
    <font>
      <sz val="9"/>
      <color theme="1" tint="0.249977111117893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C00000"/>
      <name val="Courier New"/>
      <family val="3"/>
    </font>
    <font>
      <b/>
      <sz val="11"/>
      <color rgb="FFC00000"/>
      <name val="Courier New"/>
      <family val="3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color rgb="FFFFC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left"/>
    </xf>
    <xf numFmtId="49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15" fillId="0" borderId="0" xfId="0" quotePrefix="1" applyFont="1"/>
    <xf numFmtId="0" fontId="14" fillId="0" borderId="0" xfId="0" applyFont="1"/>
    <xf numFmtId="49" fontId="14" fillId="0" borderId="0" xfId="0" applyNumberFormat="1" applyFont="1"/>
    <xf numFmtId="0" fontId="14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49" fontId="14" fillId="0" borderId="0" xfId="0" applyNumberFormat="1" applyFont="1" applyAlignment="1">
      <alignment horizont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ont="1"/>
    <xf numFmtId="0" fontId="5" fillId="0" borderId="0" xfId="0" applyFont="1"/>
    <xf numFmtId="49" fontId="14" fillId="0" borderId="0" xfId="0" applyNumberFormat="1" applyFont="1" applyFill="1"/>
    <xf numFmtId="0" fontId="14" fillId="0" borderId="0" xfId="0" quotePrefix="1" applyFont="1" applyAlignment="1">
      <alignment horizontal="center"/>
    </xf>
    <xf numFmtId="0" fontId="17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 applyAlignment="1">
      <alignment horizontal="center"/>
    </xf>
    <xf numFmtId="0" fontId="14" fillId="3" borderId="0" xfId="0" applyFont="1" applyFill="1"/>
    <xf numFmtId="0" fontId="14" fillId="3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18" fillId="3" borderId="0" xfId="0" applyFont="1" applyFill="1" applyAlignment="1">
      <alignment horizontal="center"/>
    </xf>
    <xf numFmtId="49" fontId="14" fillId="3" borderId="0" xfId="0" applyNumberFormat="1" applyFont="1" applyFill="1"/>
    <xf numFmtId="49" fontId="14" fillId="3" borderId="0" xfId="0" applyNumberFormat="1" applyFont="1" applyFill="1" applyAlignment="1">
      <alignment horizontal="center"/>
    </xf>
    <xf numFmtId="49" fontId="13" fillId="4" borderId="0" xfId="0" applyNumberFormat="1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0" fontId="16" fillId="4" borderId="0" xfId="0" applyFont="1" applyFill="1" applyAlignment="1">
      <alignment horizontal="center"/>
    </xf>
    <xf numFmtId="0" fontId="14" fillId="4" borderId="0" xfId="0" applyNumberFormat="1" applyFont="1" applyFill="1" applyAlignment="1">
      <alignment horizontal="center"/>
    </xf>
    <xf numFmtId="1" fontId="0" fillId="4" borderId="0" xfId="0" applyNumberFormat="1" applyFill="1"/>
    <xf numFmtId="49" fontId="14" fillId="4" borderId="0" xfId="0" applyNumberFormat="1" applyFont="1" applyFill="1" applyAlignment="1">
      <alignment horizontal="center"/>
    </xf>
    <xf numFmtId="0" fontId="23" fillId="0" borderId="0" xfId="0" applyFont="1"/>
    <xf numFmtId="0" fontId="20" fillId="4" borderId="0" xfId="0" applyFont="1" applyFill="1" applyAlignment="1">
      <alignment horizontal="left"/>
    </xf>
    <xf numFmtId="0" fontId="14" fillId="4" borderId="0" xfId="0" applyFont="1" applyFill="1"/>
    <xf numFmtId="0" fontId="18" fillId="4" borderId="0" xfId="0" applyFont="1" applyFill="1" applyAlignment="1">
      <alignment horizontal="center"/>
    </xf>
    <xf numFmtId="49" fontId="14" fillId="4" borderId="0" xfId="0" applyNumberFormat="1" applyFont="1" applyFill="1"/>
    <xf numFmtId="1" fontId="0" fillId="0" borderId="0" xfId="0" applyNumberFormat="1" applyAlignment="1">
      <alignment horizontal="center"/>
    </xf>
    <xf numFmtId="0" fontId="24" fillId="0" borderId="0" xfId="0" applyFont="1"/>
    <xf numFmtId="0" fontId="25" fillId="0" borderId="0" xfId="0" applyFont="1" applyAlignment="1">
      <alignment horizontal="center"/>
    </xf>
    <xf numFmtId="0" fontId="2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 filterMode="1"/>
  <dimension ref="A1:AK171"/>
  <sheetViews>
    <sheetView tabSelected="1" zoomScale="120" zoomScaleNormal="120" workbookViewId="0">
      <pane xSplit="5" ySplit="1" topLeftCell="U2" activePane="bottomRight" state="frozen"/>
      <selection pane="topRight" activeCell="E1" sqref="E1"/>
      <selection pane="bottomLeft" activeCell="A2" sqref="A2"/>
      <selection pane="bottomRight" activeCell="C91" sqref="C91"/>
    </sheetView>
  </sheetViews>
  <sheetFormatPr baseColWidth="10" defaultColWidth="11.44140625" defaultRowHeight="13.8" x14ac:dyDescent="0.3"/>
  <cols>
    <col min="1" max="1" width="11.44140625" style="27"/>
    <col min="2" max="3" width="11.44140625" style="23"/>
    <col min="4" max="4" width="7.5546875" style="30" customWidth="1"/>
    <col min="5" max="5" width="27.44140625" style="27" customWidth="1"/>
    <col min="6" max="6" width="23.44140625" style="27" customWidth="1"/>
    <col min="7" max="7" width="23.33203125" style="41" customWidth="1"/>
    <col min="8" max="8" width="23.5546875" style="23" customWidth="1"/>
    <col min="9" max="10" width="23.6640625" style="31" customWidth="1"/>
    <col min="11" max="11" width="20.109375" style="58" customWidth="1"/>
    <col min="12" max="17" width="15" style="31" customWidth="1"/>
    <col min="18" max="18" width="17.44140625" style="28" customWidth="1"/>
    <col min="19" max="19" width="12.33203125" style="38" customWidth="1"/>
    <col min="20" max="21" width="20.109375" style="27" customWidth="1"/>
    <col min="22" max="22" width="12.33203125" style="28" customWidth="1"/>
    <col min="23" max="24" width="11.44140625" style="27" customWidth="1"/>
    <col min="25" max="36" width="11.44140625" style="27"/>
    <col min="37" max="37" width="27.44140625" style="27" customWidth="1"/>
    <col min="38" max="16384" width="11.44140625" style="27"/>
  </cols>
  <sheetData>
    <row r="1" spans="2:37" s="21" customFormat="1" ht="14.4" x14ac:dyDescent="0.3">
      <c r="B1" s="21" t="s">
        <v>17</v>
      </c>
      <c r="C1" s="21" t="s">
        <v>18</v>
      </c>
      <c r="D1" s="21" t="s">
        <v>19</v>
      </c>
      <c r="E1" s="21" t="s">
        <v>20</v>
      </c>
      <c r="F1" s="21" t="s">
        <v>23</v>
      </c>
      <c r="G1" s="41" t="s">
        <v>21</v>
      </c>
      <c r="H1" s="30" t="s">
        <v>22</v>
      </c>
      <c r="I1" s="22" t="s">
        <v>24</v>
      </c>
      <c r="J1" s="44" t="s">
        <v>122</v>
      </c>
      <c r="K1" s="53" t="s">
        <v>91</v>
      </c>
      <c r="L1" s="22" t="s">
        <v>92</v>
      </c>
      <c r="M1" s="44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  <c r="U1" t="s">
        <v>134</v>
      </c>
      <c r="V1" t="s">
        <v>135</v>
      </c>
      <c r="W1" t="s">
        <v>136</v>
      </c>
      <c r="X1" t="s">
        <v>137</v>
      </c>
      <c r="Z1" s="21" t="str">
        <f>"-- ====================================================================== CI_UNIDAD_OPERATIVA"</f>
        <v>-- ====================================================================== CI_UNIDAD_OPERATIVA</v>
      </c>
      <c r="AK1" s="21" t="s">
        <v>20</v>
      </c>
    </row>
    <row r="2" spans="2:37" ht="14.4" hidden="1" x14ac:dyDescent="0.3">
      <c r="B2" s="23">
        <v>0</v>
      </c>
      <c r="C2" s="23">
        <v>0</v>
      </c>
      <c r="D2" s="24">
        <v>0</v>
      </c>
      <c r="E2" s="25" t="s">
        <v>40</v>
      </c>
      <c r="F2" s="26" t="s">
        <v>40</v>
      </c>
      <c r="G2" s="41" t="s">
        <v>115</v>
      </c>
      <c r="H2" s="23">
        <v>0</v>
      </c>
      <c r="I2" s="23">
        <v>1</v>
      </c>
      <c r="J2" s="44">
        <v>10</v>
      </c>
      <c r="K2" s="54">
        <v>0</v>
      </c>
      <c r="L2" s="23">
        <v>0</v>
      </c>
      <c r="M2" s="44">
        <v>0</v>
      </c>
      <c r="N2" s="23">
        <v>0</v>
      </c>
      <c r="O2" s="41">
        <v>0</v>
      </c>
      <c r="P2" s="39" t="s">
        <v>139</v>
      </c>
      <c r="Q2" s="39" t="s">
        <v>139</v>
      </c>
      <c r="R2" s="39" t="s">
        <v>139</v>
      </c>
      <c r="S2" s="39" t="s">
        <v>139</v>
      </c>
      <c r="T2" s="39" t="s">
        <v>139</v>
      </c>
      <c r="U2" s="39" t="s">
        <v>139</v>
      </c>
      <c r="V2" s="39" t="s">
        <v>139</v>
      </c>
      <c r="W2" s="39" t="s">
        <v>139</v>
      </c>
      <c r="X2" s="39" t="s">
        <v>139</v>
      </c>
      <c r="Z2" s="40" t="str">
        <f>CONCATENATE("EXECUTE [dbo].[PG_CI_UNIDAD_OPERATIVA]"," ",B2,", ",C2,", ",D2,", '",E2,"', '",F2,"', '",G2,"', ",H2,", ",I2,", ",J2,", ",K2,", ",L2,", ",M2,", ",N2,", ",O2,", ",P2,", ",Q2,", ",R2,", ",S2,", ",T2,", ",U2,", ",V2,", ",W2,", ",X2)</f>
        <v>EXECUTE [dbo].[PG_CI_UNIDAD_OPERATIVA] 0, 0, 0, 'Sin Asignar', 'Sin Asignar', 'S/A', 0, 1, 10, 0, 0, 0, 0, 0, '', '', '', '', '', '', '', '', ''</v>
      </c>
      <c r="AK2" s="25" t="s">
        <v>40</v>
      </c>
    </row>
    <row r="3" spans="2:37" ht="14.4" hidden="1" x14ac:dyDescent="0.3">
      <c r="B3" s="23">
        <v>0</v>
      </c>
      <c r="C3" s="23">
        <v>0</v>
      </c>
      <c r="D3" s="24">
        <v>1</v>
      </c>
      <c r="E3" s="25" t="s">
        <v>0</v>
      </c>
      <c r="F3" s="25" t="s">
        <v>0</v>
      </c>
      <c r="G3" s="42" t="s">
        <v>141</v>
      </c>
      <c r="H3" s="23">
        <f>D3*10</f>
        <v>10</v>
      </c>
      <c r="I3" s="23">
        <v>1</v>
      </c>
      <c r="J3" s="44">
        <v>10</v>
      </c>
      <c r="K3" s="54">
        <v>30</v>
      </c>
      <c r="L3" s="23">
        <v>23</v>
      </c>
      <c r="M3" s="44">
        <v>40</v>
      </c>
      <c r="N3" s="23">
        <v>13</v>
      </c>
      <c r="O3" s="41">
        <v>1030</v>
      </c>
      <c r="P3" s="39" t="s">
        <v>139</v>
      </c>
      <c r="Q3" s="39" t="s">
        <v>139</v>
      </c>
      <c r="R3" s="39" t="s">
        <v>139</v>
      </c>
      <c r="S3" s="39" t="s">
        <v>139</v>
      </c>
      <c r="T3" s="39" t="s">
        <v>139</v>
      </c>
      <c r="U3" s="39" t="s">
        <v>139</v>
      </c>
      <c r="V3" s="39" t="s">
        <v>139</v>
      </c>
      <c r="W3" s="39" t="s">
        <v>139</v>
      </c>
      <c r="X3" s="39" t="s">
        <v>139</v>
      </c>
      <c r="Z3" s="40" t="str">
        <f t="shared" ref="Z3:Z65" si="0">CONCATENATE("EXECUTE [dbo].[PG_CI_UNIDAD_OPERATIVA]"," ",B3,", ",C3,", ",D3,", '",E3,"', '",F3,"', '",G3,"', ",H3,", ",I3,", ",J3,", ",K3,", ",L3,", ",M3,", ",N3,", ",O3,", ",P3,", ",Q3,", ",R3,", ",S3,", ",T3,", ",U3,", ",V3,", ",W3,", ",X3)</f>
        <v>EXECUTE [dbo].[PG_CI_UNIDAD_OPERATIVA] 0, 0, 1, 'GUADALUPE', 'GUADALUPE', 'GDLPE', 10, 1, 10, 30, 23, 40, 13, 1030, '', '', '', '', '', '', '', '', ''</v>
      </c>
      <c r="AK3" s="25" t="s">
        <v>0</v>
      </c>
    </row>
    <row r="4" spans="2:37" ht="14.4" hidden="1" x14ac:dyDescent="0.3">
      <c r="B4" s="23">
        <v>0</v>
      </c>
      <c r="C4" s="23">
        <v>0</v>
      </c>
      <c r="D4" s="24">
        <v>2</v>
      </c>
      <c r="E4" s="25" t="s">
        <v>1</v>
      </c>
      <c r="F4" s="25" t="s">
        <v>1</v>
      </c>
      <c r="G4" s="42" t="s">
        <v>142</v>
      </c>
      <c r="H4" s="23">
        <f t="shared" ref="H4:H67" si="1">D4*10</f>
        <v>20</v>
      </c>
      <c r="I4" s="23">
        <v>1</v>
      </c>
      <c r="J4" s="44">
        <v>10</v>
      </c>
      <c r="K4" s="54">
        <v>30</v>
      </c>
      <c r="L4" s="23">
        <v>34</v>
      </c>
      <c r="M4" s="64">
        <v>65</v>
      </c>
      <c r="N4" s="23">
        <v>28</v>
      </c>
      <c r="O4" s="41">
        <v>1030</v>
      </c>
      <c r="P4" s="39" t="s">
        <v>139</v>
      </c>
      <c r="Q4" s="39" t="s">
        <v>139</v>
      </c>
      <c r="R4" s="39" t="s">
        <v>139</v>
      </c>
      <c r="S4" s="39" t="s">
        <v>139</v>
      </c>
      <c r="T4" s="39" t="s">
        <v>139</v>
      </c>
      <c r="U4" s="39" t="s">
        <v>139</v>
      </c>
      <c r="V4" s="39" t="s">
        <v>139</v>
      </c>
      <c r="W4" s="39" t="s">
        <v>139</v>
      </c>
      <c r="X4" s="39" t="s">
        <v>139</v>
      </c>
      <c r="Z4" s="40" t="str">
        <f t="shared" si="0"/>
        <v>EXECUTE [dbo].[PG_CI_UNIDAD_OPERATIVA] 0, 0, 2, 'PARRAL', 'PARRAL', 'PRRAL', 20, 1, 10, 30, 34, 65, 28, 1030, '', '', '', '', '', '', '', '', ''</v>
      </c>
      <c r="AK4" s="25" t="s">
        <v>1</v>
      </c>
    </row>
    <row r="5" spans="2:37" ht="14.4" hidden="1" x14ac:dyDescent="0.3">
      <c r="B5" s="23">
        <v>0</v>
      </c>
      <c r="C5" s="23">
        <v>0</v>
      </c>
      <c r="D5" s="24">
        <v>3</v>
      </c>
      <c r="E5" s="25" t="s">
        <v>2</v>
      </c>
      <c r="F5" s="25" t="s">
        <v>2</v>
      </c>
      <c r="G5" s="42" t="s">
        <v>143</v>
      </c>
      <c r="H5" s="23">
        <f t="shared" si="1"/>
        <v>30</v>
      </c>
      <c r="I5" s="23">
        <v>1</v>
      </c>
      <c r="J5" s="44">
        <v>10</v>
      </c>
      <c r="K5" s="54">
        <v>30</v>
      </c>
      <c r="L5" s="23">
        <v>22</v>
      </c>
      <c r="M5" s="64">
        <v>3</v>
      </c>
      <c r="N5" s="23">
        <v>13</v>
      </c>
      <c r="O5" s="41">
        <v>1030</v>
      </c>
      <c r="P5" s="39" t="s">
        <v>139</v>
      </c>
      <c r="Q5" s="39" t="s">
        <v>139</v>
      </c>
      <c r="R5" s="39" t="s">
        <v>139</v>
      </c>
      <c r="S5" s="39" t="s">
        <v>139</v>
      </c>
      <c r="T5" s="39" t="s">
        <v>139</v>
      </c>
      <c r="U5" s="39" t="s">
        <v>139</v>
      </c>
      <c r="V5" s="39" t="s">
        <v>139</v>
      </c>
      <c r="W5" s="39" t="s">
        <v>139</v>
      </c>
      <c r="X5" s="39" t="s">
        <v>139</v>
      </c>
      <c r="Z5" s="40" t="str">
        <f t="shared" si="0"/>
        <v>EXECUTE [dbo].[PG_CI_UNIDAD_OPERATIVA] 0, 0, 3, 'BIOGAS', 'BIOGAS', 'BIOGS', 30, 1, 10, 30, 22, 3, 13, 1030, '', '', '', '', '', '', '', '', ''</v>
      </c>
      <c r="AK5" s="25" t="s">
        <v>2</v>
      </c>
    </row>
    <row r="6" spans="2:37" ht="14.4" hidden="1" x14ac:dyDescent="0.3">
      <c r="B6" s="23">
        <v>0</v>
      </c>
      <c r="C6" s="23">
        <v>0</v>
      </c>
      <c r="D6" s="24">
        <v>4</v>
      </c>
      <c r="E6" s="25" t="s">
        <v>3</v>
      </c>
      <c r="F6" s="25" t="s">
        <v>3</v>
      </c>
      <c r="G6" s="42" t="s">
        <v>144</v>
      </c>
      <c r="H6" s="23">
        <f t="shared" si="1"/>
        <v>40</v>
      </c>
      <c r="I6" s="23">
        <v>1</v>
      </c>
      <c r="J6" s="44">
        <v>10</v>
      </c>
      <c r="K6" s="54">
        <v>30</v>
      </c>
      <c r="L6" s="23">
        <v>35</v>
      </c>
      <c r="M6" s="64">
        <v>48</v>
      </c>
      <c r="N6" s="23">
        <v>28</v>
      </c>
      <c r="O6" s="41">
        <v>1030</v>
      </c>
      <c r="P6" s="39" t="s">
        <v>139</v>
      </c>
      <c r="Q6" s="39" t="s">
        <v>139</v>
      </c>
      <c r="R6" s="39" t="s">
        <v>139</v>
      </c>
      <c r="S6" s="39" t="s">
        <v>139</v>
      </c>
      <c r="T6" s="39" t="s">
        <v>139</v>
      </c>
      <c r="U6" s="39" t="s">
        <v>139</v>
      </c>
      <c r="V6" s="39" t="s">
        <v>139</v>
      </c>
      <c r="W6" s="39" t="s">
        <v>139</v>
      </c>
      <c r="X6" s="39" t="s">
        <v>139</v>
      </c>
      <c r="Z6" s="40" t="str">
        <f t="shared" si="0"/>
        <v>EXECUTE [dbo].[PG_CI_UNIDAD_OPERATIVA] 0, 0, 4, 'LAS SIERRA', 'LAS SIERRA', 'SIERR', 40, 1, 10, 30, 35, 48, 28, 1030, '', '', '', '', '', '', '', '', ''</v>
      </c>
      <c r="AK6" s="25" t="s">
        <v>3</v>
      </c>
    </row>
    <row r="7" spans="2:37" ht="14.4" hidden="1" x14ac:dyDescent="0.3">
      <c r="B7" s="23">
        <v>0</v>
      </c>
      <c r="C7" s="23">
        <v>0</v>
      </c>
      <c r="D7" s="24">
        <v>5</v>
      </c>
      <c r="E7" s="25" t="s">
        <v>4</v>
      </c>
      <c r="F7" s="25" t="s">
        <v>4</v>
      </c>
      <c r="G7" s="42" t="s">
        <v>145</v>
      </c>
      <c r="H7" s="23">
        <f t="shared" si="1"/>
        <v>50</v>
      </c>
      <c r="I7" s="23">
        <v>1</v>
      </c>
      <c r="J7" s="44">
        <v>10</v>
      </c>
      <c r="K7" s="54">
        <v>30</v>
      </c>
      <c r="L7" s="23">
        <v>28</v>
      </c>
      <c r="M7" s="64">
        <v>64</v>
      </c>
      <c r="N7" s="23">
        <v>12</v>
      </c>
      <c r="O7" s="41">
        <v>1030</v>
      </c>
      <c r="P7" s="39" t="s">
        <v>139</v>
      </c>
      <c r="Q7" s="39" t="s">
        <v>139</v>
      </c>
      <c r="R7" s="39" t="s">
        <v>139</v>
      </c>
      <c r="S7" s="39" t="s">
        <v>139</v>
      </c>
      <c r="T7" s="39" t="s">
        <v>139</v>
      </c>
      <c r="U7" s="39" t="s">
        <v>139</v>
      </c>
      <c r="V7" s="39" t="s">
        <v>139</v>
      </c>
      <c r="W7" s="39" t="s">
        <v>139</v>
      </c>
      <c r="X7" s="39" t="s">
        <v>139</v>
      </c>
      <c r="Z7" s="40" t="str">
        <f t="shared" si="0"/>
        <v>EXECUTE [dbo].[PG_CI_UNIDAD_OPERATIVA] 0, 0, 5, 'PALOMAS', 'PALOMAS', 'PALMS', 50, 1, 10, 30, 28, 64, 12, 1030, '', '', '', '', '', '', '', '', ''</v>
      </c>
      <c r="AK7" s="25" t="s">
        <v>4</v>
      </c>
    </row>
    <row r="8" spans="2:37" ht="14.4" hidden="1" x14ac:dyDescent="0.3">
      <c r="B8" s="23">
        <v>0</v>
      </c>
      <c r="C8" s="23">
        <v>0</v>
      </c>
      <c r="D8" s="24">
        <v>6</v>
      </c>
      <c r="E8" s="25" t="s">
        <v>5</v>
      </c>
      <c r="F8" s="25" t="s">
        <v>5</v>
      </c>
      <c r="G8" s="42" t="s">
        <v>146</v>
      </c>
      <c r="H8" s="23">
        <f t="shared" si="1"/>
        <v>60</v>
      </c>
      <c r="I8" s="23">
        <v>1</v>
      </c>
      <c r="J8" s="44">
        <v>10</v>
      </c>
      <c r="K8" s="54">
        <v>30</v>
      </c>
      <c r="L8" s="23">
        <v>25</v>
      </c>
      <c r="M8" s="64">
        <v>69</v>
      </c>
      <c r="N8" s="23">
        <v>12</v>
      </c>
      <c r="O8" s="41">
        <v>1030</v>
      </c>
      <c r="P8" s="39" t="s">
        <v>139</v>
      </c>
      <c r="Q8" s="39" t="s">
        <v>139</v>
      </c>
      <c r="R8" s="39" t="s">
        <v>139</v>
      </c>
      <c r="S8" s="39" t="s">
        <v>139</v>
      </c>
      <c r="T8" s="39" t="s">
        <v>139</v>
      </c>
      <c r="U8" s="39" t="s">
        <v>139</v>
      </c>
      <c r="V8" s="39" t="s">
        <v>139</v>
      </c>
      <c r="W8" s="39" t="s">
        <v>139</v>
      </c>
      <c r="X8" s="39" t="s">
        <v>139</v>
      </c>
      <c r="Z8" s="40" t="str">
        <f t="shared" si="0"/>
        <v>EXECUTE [dbo].[PG_CI_UNIDAD_OPERATIVA] 0, 0, 6, 'PUEBLO', 'PUEBLO', 'PUBLO', 60, 1, 10, 30, 25, 69, 12, 1030, '', '', '', '', '', '', '', '', ''</v>
      </c>
      <c r="AK8" s="25" t="s">
        <v>5</v>
      </c>
    </row>
    <row r="9" spans="2:37" ht="14.4" hidden="1" x14ac:dyDescent="0.3">
      <c r="B9" s="23">
        <v>0</v>
      </c>
      <c r="C9" s="23">
        <v>0</v>
      </c>
      <c r="D9" s="24">
        <v>7</v>
      </c>
      <c r="E9" s="25" t="s">
        <v>6</v>
      </c>
      <c r="F9" s="25" t="s">
        <v>6</v>
      </c>
      <c r="G9" s="42" t="s">
        <v>147</v>
      </c>
      <c r="H9" s="23">
        <f t="shared" si="1"/>
        <v>70</v>
      </c>
      <c r="I9" s="23">
        <v>1</v>
      </c>
      <c r="J9" s="44">
        <v>10</v>
      </c>
      <c r="K9" s="54">
        <v>30</v>
      </c>
      <c r="L9" s="23">
        <v>30</v>
      </c>
      <c r="M9" s="64">
        <v>45</v>
      </c>
      <c r="N9" s="23">
        <v>28</v>
      </c>
      <c r="O9" s="41">
        <v>1030</v>
      </c>
      <c r="P9" s="39" t="s">
        <v>139</v>
      </c>
      <c r="Q9" s="39" t="s">
        <v>139</v>
      </c>
      <c r="R9" s="39" t="s">
        <v>139</v>
      </c>
      <c r="S9" s="39" t="s">
        <v>139</v>
      </c>
      <c r="T9" s="39" t="s">
        <v>139</v>
      </c>
      <c r="U9" s="39" t="s">
        <v>139</v>
      </c>
      <c r="V9" s="39" t="s">
        <v>139</v>
      </c>
      <c r="W9" s="39" t="s">
        <v>139</v>
      </c>
      <c r="X9" s="39" t="s">
        <v>139</v>
      </c>
      <c r="Z9" s="40" t="str">
        <f t="shared" si="0"/>
        <v>EXECUTE [dbo].[PG_CI_UNIDAD_OPERATIVA] 0, 0, 7, 'HIDRO I', 'HIDRO I', 'HID.1', 70, 1, 10, 30, 30, 45, 28, 1030, '', '', '', '', '', '', '', '', ''</v>
      </c>
      <c r="AK9" s="25" t="s">
        <v>6</v>
      </c>
    </row>
    <row r="10" spans="2:37" ht="14.4" hidden="1" x14ac:dyDescent="0.3">
      <c r="B10" s="23">
        <v>0</v>
      </c>
      <c r="C10" s="23">
        <v>0</v>
      </c>
      <c r="D10" s="24">
        <v>8</v>
      </c>
      <c r="E10" s="25" t="s">
        <v>7</v>
      </c>
      <c r="F10" s="25" t="s">
        <v>7</v>
      </c>
      <c r="G10" s="42" t="s">
        <v>149</v>
      </c>
      <c r="H10" s="23">
        <f t="shared" si="1"/>
        <v>80</v>
      </c>
      <c r="I10" s="23">
        <v>1</v>
      </c>
      <c r="J10" s="44">
        <v>10</v>
      </c>
      <c r="K10" s="54">
        <v>30</v>
      </c>
      <c r="L10" s="23">
        <v>27</v>
      </c>
      <c r="M10" s="64">
        <v>34</v>
      </c>
      <c r="N10" s="23">
        <v>12</v>
      </c>
      <c r="O10" s="41">
        <v>1030</v>
      </c>
      <c r="P10" s="39" t="s">
        <v>139</v>
      </c>
      <c r="Q10" s="39" t="s">
        <v>139</v>
      </c>
      <c r="R10" s="39" t="s">
        <v>139</v>
      </c>
      <c r="S10" s="39" t="s">
        <v>139</v>
      </c>
      <c r="T10" s="39" t="s">
        <v>139</v>
      </c>
      <c r="U10" s="39" t="s">
        <v>139</v>
      </c>
      <c r="V10" s="39" t="s">
        <v>139</v>
      </c>
      <c r="W10" s="39" t="s">
        <v>139</v>
      </c>
      <c r="X10" s="39" t="s">
        <v>139</v>
      </c>
      <c r="Z10" s="40" t="str">
        <f t="shared" si="0"/>
        <v>EXECUTE [dbo].[PG_CI_UNIDAD_OPERATIVA] 0, 0, 8, 'FLORES MAGON', 'FLORES MAGON', 'FMAGN', 80, 1, 10, 30, 27, 34, 12, 1030, '', '', '', '', '', '', '', '', ''</v>
      </c>
      <c r="AK10" s="25" t="s">
        <v>7</v>
      </c>
    </row>
    <row r="11" spans="2:37" ht="14.4" hidden="1" x14ac:dyDescent="0.3">
      <c r="B11" s="23">
        <v>0</v>
      </c>
      <c r="C11" s="23">
        <v>0</v>
      </c>
      <c r="D11" s="24">
        <v>9</v>
      </c>
      <c r="E11" s="25" t="s">
        <v>8</v>
      </c>
      <c r="F11" s="25" t="s">
        <v>8</v>
      </c>
      <c r="G11" s="42" t="s">
        <v>150</v>
      </c>
      <c r="H11" s="23">
        <f t="shared" si="1"/>
        <v>90</v>
      </c>
      <c r="I11" s="23">
        <v>1</v>
      </c>
      <c r="J11" s="44">
        <v>10</v>
      </c>
      <c r="K11" s="54">
        <v>30</v>
      </c>
      <c r="L11" s="23">
        <v>36</v>
      </c>
      <c r="M11" s="64">
        <v>32</v>
      </c>
      <c r="N11" s="23">
        <v>28</v>
      </c>
      <c r="O11" s="41">
        <v>1030</v>
      </c>
      <c r="P11" s="39" t="s">
        <v>139</v>
      </c>
      <c r="Q11" s="39" t="s">
        <v>139</v>
      </c>
      <c r="R11" s="39" t="s">
        <v>139</v>
      </c>
      <c r="S11" s="39" t="s">
        <v>139</v>
      </c>
      <c r="T11" s="39" t="s">
        <v>139</v>
      </c>
      <c r="U11" s="39" t="s">
        <v>139</v>
      </c>
      <c r="V11" s="39" t="s">
        <v>139</v>
      </c>
      <c r="W11" s="39" t="s">
        <v>139</v>
      </c>
      <c r="X11" s="39" t="s">
        <v>139</v>
      </c>
      <c r="Z11" s="40" t="str">
        <f t="shared" si="0"/>
        <v>EXECUTE [dbo].[PG_CI_UNIDAD_OPERATIVA] 0, 0, 9, 'DELICIAS', 'DELICIAS', 'DELCS', 90, 1, 10, 30, 36, 32, 28, 1030, '', '', '', '', '', '', '', '', ''</v>
      </c>
      <c r="AK11" s="25" t="s">
        <v>8</v>
      </c>
    </row>
    <row r="12" spans="2:37" ht="14.4" hidden="1" x14ac:dyDescent="0.3">
      <c r="B12" s="23">
        <v>0</v>
      </c>
      <c r="C12" s="23">
        <v>0</v>
      </c>
      <c r="D12" s="24">
        <v>10</v>
      </c>
      <c r="E12" s="25" t="s">
        <v>9</v>
      </c>
      <c r="F12" s="25" t="s">
        <v>9</v>
      </c>
      <c r="G12" s="42" t="s">
        <v>152</v>
      </c>
      <c r="H12" s="23">
        <f t="shared" si="1"/>
        <v>100</v>
      </c>
      <c r="I12" s="23">
        <v>1</v>
      </c>
      <c r="J12" s="44">
        <v>0</v>
      </c>
      <c r="K12" s="54">
        <v>0</v>
      </c>
      <c r="L12" s="23">
        <v>300</v>
      </c>
      <c r="M12" s="64">
        <v>50</v>
      </c>
      <c r="N12" s="23">
        <v>0</v>
      </c>
      <c r="O12" s="41">
        <v>0</v>
      </c>
      <c r="P12" s="39" t="s">
        <v>139</v>
      </c>
      <c r="Q12" s="39" t="s">
        <v>139</v>
      </c>
      <c r="R12" s="39" t="s">
        <v>139</v>
      </c>
      <c r="S12" s="39" t="s">
        <v>139</v>
      </c>
      <c r="T12" s="39" t="s">
        <v>139</v>
      </c>
      <c r="U12" s="39" t="s">
        <v>139</v>
      </c>
      <c r="V12" s="39" t="s">
        <v>139</v>
      </c>
      <c r="W12" s="39" t="s">
        <v>139</v>
      </c>
      <c r="X12" s="39" t="s">
        <v>139</v>
      </c>
      <c r="Z12" s="40" t="str">
        <f t="shared" si="0"/>
        <v>EXECUTE [dbo].[PG_CI_UNIDAD_OPERATIVA] 0, 0, 10, 'MARKETING', 'MARKETING', 'MKTNG', 100, 1, 0, 0, 300, 50, 0, 0, '', '', '', '', '', '', '', '', ''</v>
      </c>
      <c r="AK12" s="25" t="s">
        <v>9</v>
      </c>
    </row>
    <row r="13" spans="2:37" ht="14.4" hidden="1" x14ac:dyDescent="0.3">
      <c r="B13" s="23">
        <v>0</v>
      </c>
      <c r="C13" s="23">
        <v>0</v>
      </c>
      <c r="D13" s="24">
        <v>11</v>
      </c>
      <c r="E13" s="25" t="s">
        <v>10</v>
      </c>
      <c r="F13" s="25" t="s">
        <v>10</v>
      </c>
      <c r="G13" s="42" t="s">
        <v>151</v>
      </c>
      <c r="H13" s="23">
        <f t="shared" si="1"/>
        <v>110</v>
      </c>
      <c r="I13" s="23">
        <v>1</v>
      </c>
      <c r="J13" s="44">
        <v>10</v>
      </c>
      <c r="K13" s="54">
        <v>30</v>
      </c>
      <c r="L13" s="23">
        <v>26</v>
      </c>
      <c r="M13" s="64">
        <v>17</v>
      </c>
      <c r="N13" s="23">
        <v>12</v>
      </c>
      <c r="O13" s="41">
        <v>1030</v>
      </c>
      <c r="P13" s="39" t="s">
        <v>139</v>
      </c>
      <c r="Q13" s="39" t="s">
        <v>139</v>
      </c>
      <c r="R13" s="39" t="s">
        <v>139</v>
      </c>
      <c r="S13" s="39" t="s">
        <v>139</v>
      </c>
      <c r="T13" s="39" t="s">
        <v>139</v>
      </c>
      <c r="U13" s="39" t="s">
        <v>139</v>
      </c>
      <c r="V13" s="39" t="s">
        <v>139</v>
      </c>
      <c r="W13" s="39" t="s">
        <v>139</v>
      </c>
      <c r="X13" s="39" t="s">
        <v>139</v>
      </c>
      <c r="Z13" s="40" t="str">
        <f t="shared" si="0"/>
        <v>EXECUTE [dbo].[PG_CI_UNIDAD_OPERATIVA] 0, 0, 11, 'ASCENSION', 'ASCENSION', 'ASCNS', 110, 1, 10, 30, 26, 17, 12, 1030, '', '', '', '', '', '', '', '', ''</v>
      </c>
      <c r="AK13" s="25" t="s">
        <v>10</v>
      </c>
    </row>
    <row r="14" spans="2:37" ht="14.4" hidden="1" x14ac:dyDescent="0.3">
      <c r="B14" s="23">
        <v>0</v>
      </c>
      <c r="C14" s="23">
        <v>0</v>
      </c>
      <c r="D14" s="24">
        <v>12</v>
      </c>
      <c r="E14" s="25" t="s">
        <v>11</v>
      </c>
      <c r="F14" s="25" t="s">
        <v>11</v>
      </c>
      <c r="G14" s="42" t="s">
        <v>153</v>
      </c>
      <c r="H14" s="23">
        <f t="shared" si="1"/>
        <v>120</v>
      </c>
      <c r="I14" s="23">
        <v>1</v>
      </c>
      <c r="J14" s="44">
        <v>10</v>
      </c>
      <c r="K14" s="54">
        <v>30</v>
      </c>
      <c r="L14" s="23">
        <v>38</v>
      </c>
      <c r="M14" s="64">
        <v>63</v>
      </c>
      <c r="N14" s="23">
        <v>24</v>
      </c>
      <c r="O14" s="41">
        <v>1030</v>
      </c>
      <c r="P14" s="39" t="s">
        <v>139</v>
      </c>
      <c r="Q14" s="39" t="s">
        <v>139</v>
      </c>
      <c r="R14" s="39" t="s">
        <v>139</v>
      </c>
      <c r="S14" s="39" t="s">
        <v>139</v>
      </c>
      <c r="T14" s="39" t="s">
        <v>139</v>
      </c>
      <c r="U14" s="39" t="s">
        <v>139</v>
      </c>
      <c r="V14" s="39" t="s">
        <v>139</v>
      </c>
      <c r="W14" s="39" t="s">
        <v>139</v>
      </c>
      <c r="X14" s="39" t="s">
        <v>139</v>
      </c>
      <c r="Z14" s="40" t="str">
        <f t="shared" si="0"/>
        <v>EXECUTE [dbo].[PG_CI_UNIDAD_OPERATIVA] 0, 0, 12, 'OJINAGA', 'OJINAGA', 'OJNGA', 120, 1, 10, 30, 38, 63, 24, 1030, '', '', '', '', '', '', '', '', ''</v>
      </c>
      <c r="AK14" s="25" t="s">
        <v>11</v>
      </c>
    </row>
    <row r="15" spans="2:37" ht="14.4" hidden="1" x14ac:dyDescent="0.3">
      <c r="B15" s="23">
        <v>0</v>
      </c>
      <c r="C15" s="23">
        <v>0</v>
      </c>
      <c r="D15" s="24">
        <v>13</v>
      </c>
      <c r="E15" s="25" t="s">
        <v>12</v>
      </c>
      <c r="F15" s="25" t="s">
        <v>12</v>
      </c>
      <c r="G15" s="42" t="s">
        <v>154</v>
      </c>
      <c r="H15" s="23">
        <f t="shared" si="1"/>
        <v>130</v>
      </c>
      <c r="I15" s="23">
        <v>1</v>
      </c>
      <c r="J15" s="44">
        <v>10</v>
      </c>
      <c r="K15" s="55">
        <v>70</v>
      </c>
      <c r="L15" s="23">
        <v>48</v>
      </c>
      <c r="M15" s="64">
        <v>4</v>
      </c>
      <c r="N15" s="23">
        <v>42</v>
      </c>
      <c r="O15" s="41">
        <v>1050</v>
      </c>
      <c r="P15" s="39" t="s">
        <v>139</v>
      </c>
      <c r="Q15" s="39" t="s">
        <v>139</v>
      </c>
      <c r="R15" s="39" t="s">
        <v>139</v>
      </c>
      <c r="S15" s="39" t="s">
        <v>139</v>
      </c>
      <c r="T15" s="39" t="s">
        <v>139</v>
      </c>
      <c r="U15" s="39" t="s">
        <v>139</v>
      </c>
      <c r="V15" s="39" t="s">
        <v>139</v>
      </c>
      <c r="W15" s="39" t="s">
        <v>139</v>
      </c>
      <c r="X15" s="39" t="s">
        <v>139</v>
      </c>
      <c r="Z15" s="40" t="str">
        <f t="shared" si="0"/>
        <v>EXECUTE [dbo].[PG_CI_UNIDAD_OPERATIVA] 0, 0, 13, 'UNIGAS MATRIZ', 'UNIGAS MATRIZ', 'UNISJ', 130, 1, 10, 70, 48, 4, 42, 1050, '', '', '', '', '', '', '', '', ''</v>
      </c>
      <c r="AK15" s="25" t="s">
        <v>12</v>
      </c>
    </row>
    <row r="16" spans="2:37" ht="14.4" hidden="1" x14ac:dyDescent="0.3">
      <c r="B16" s="23">
        <v>0</v>
      </c>
      <c r="C16" s="23">
        <v>0</v>
      </c>
      <c r="D16" s="24">
        <v>14</v>
      </c>
      <c r="E16" s="25" t="s">
        <v>13</v>
      </c>
      <c r="F16" s="25" t="s">
        <v>13</v>
      </c>
      <c r="G16" s="42" t="s">
        <v>156</v>
      </c>
      <c r="H16" s="23">
        <f t="shared" si="1"/>
        <v>140</v>
      </c>
      <c r="I16" s="23">
        <v>1</v>
      </c>
      <c r="J16" s="44">
        <v>10</v>
      </c>
      <c r="K16" s="54">
        <v>30</v>
      </c>
      <c r="L16" s="23">
        <v>33</v>
      </c>
      <c r="M16" s="64">
        <v>20</v>
      </c>
      <c r="N16" s="23">
        <v>28</v>
      </c>
      <c r="O16" s="41">
        <v>1030</v>
      </c>
      <c r="P16" s="39" t="s">
        <v>139</v>
      </c>
      <c r="Q16" s="39" t="s">
        <v>139</v>
      </c>
      <c r="R16" s="39" t="s">
        <v>139</v>
      </c>
      <c r="S16" s="39" t="s">
        <v>139</v>
      </c>
      <c r="T16" s="39" t="s">
        <v>139</v>
      </c>
      <c r="U16" s="39" t="s">
        <v>139</v>
      </c>
      <c r="V16" s="39" t="s">
        <v>139</v>
      </c>
      <c r="W16" s="39" t="s">
        <v>139</v>
      </c>
      <c r="X16" s="39" t="s">
        <v>139</v>
      </c>
      <c r="Z16" s="40" t="str">
        <f t="shared" si="0"/>
        <v>EXECUTE [dbo].[PG_CI_UNIDAD_OPERATIVA] 0, 0, 14, 'BUENAVENTURA', 'BUENAVENTURA', 'BNVTR', 140, 1, 10, 30, 33, 20, 28, 1030, '', '', '', '', '', '', '', '', ''</v>
      </c>
      <c r="AK16" s="25" t="s">
        <v>13</v>
      </c>
    </row>
    <row r="17" spans="2:37" ht="14.4" hidden="1" x14ac:dyDescent="0.3">
      <c r="B17" s="23">
        <v>0</v>
      </c>
      <c r="C17" s="23">
        <v>0</v>
      </c>
      <c r="D17" s="24">
        <v>15</v>
      </c>
      <c r="E17" s="25" t="s">
        <v>14</v>
      </c>
      <c r="F17" s="25" t="s">
        <v>14</v>
      </c>
      <c r="G17" s="42" t="s">
        <v>155</v>
      </c>
      <c r="H17" s="23">
        <f t="shared" si="1"/>
        <v>150</v>
      </c>
      <c r="I17" s="23">
        <v>1</v>
      </c>
      <c r="J17" s="44">
        <v>10</v>
      </c>
      <c r="K17" s="54">
        <v>30</v>
      </c>
      <c r="L17" s="23">
        <v>37</v>
      </c>
      <c r="M17" s="64">
        <v>22</v>
      </c>
      <c r="N17" s="23">
        <v>28</v>
      </c>
      <c r="O17" s="41">
        <v>1030</v>
      </c>
      <c r="P17" s="39" t="s">
        <v>139</v>
      </c>
      <c r="Q17" s="39" t="s">
        <v>139</v>
      </c>
      <c r="R17" s="39" t="s">
        <v>139</v>
      </c>
      <c r="S17" s="39" t="s">
        <v>139</v>
      </c>
      <c r="T17" s="39" t="s">
        <v>139</v>
      </c>
      <c r="U17" s="39" t="s">
        <v>139</v>
      </c>
      <c r="V17" s="39" t="s">
        <v>139</v>
      </c>
      <c r="W17" s="39" t="s">
        <v>139</v>
      </c>
      <c r="X17" s="39" t="s">
        <v>139</v>
      </c>
      <c r="Z17" s="40" t="str">
        <f t="shared" si="0"/>
        <v>EXECUTE [dbo].[PG_CI_UNIDAD_OPERATIVA] 0, 0, 15, 'CAMARGO', 'CAMARGO', 'CAMRG', 150, 1, 10, 30, 37, 22, 28, 1030, '', '', '', '', '', '', '', '', ''</v>
      </c>
      <c r="AK17" s="25" t="s">
        <v>14</v>
      </c>
    </row>
    <row r="18" spans="2:37" ht="14.4" hidden="1" x14ac:dyDescent="0.3">
      <c r="B18" s="23">
        <v>0</v>
      </c>
      <c r="C18" s="23">
        <v>0</v>
      </c>
      <c r="D18" s="24">
        <v>16</v>
      </c>
      <c r="E18" s="25" t="s">
        <v>15</v>
      </c>
      <c r="F18" s="25" t="s">
        <v>15</v>
      </c>
      <c r="G18" s="42" t="s">
        <v>157</v>
      </c>
      <c r="H18" s="23">
        <f t="shared" si="1"/>
        <v>160</v>
      </c>
      <c r="I18" s="23">
        <v>1</v>
      </c>
      <c r="J18" s="44">
        <v>10</v>
      </c>
      <c r="K18" s="54">
        <v>30</v>
      </c>
      <c r="L18" s="23">
        <v>29</v>
      </c>
      <c r="M18" s="64">
        <v>19</v>
      </c>
      <c r="N18" s="23">
        <v>12</v>
      </c>
      <c r="O18" s="41">
        <v>1030</v>
      </c>
      <c r="P18" s="39" t="s">
        <v>139</v>
      </c>
      <c r="Q18" s="39" t="s">
        <v>139</v>
      </c>
      <c r="R18" s="39" t="s">
        <v>139</v>
      </c>
      <c r="S18" s="39" t="s">
        <v>139</v>
      </c>
      <c r="T18" s="39" t="s">
        <v>139</v>
      </c>
      <c r="U18" s="39" t="s">
        <v>139</v>
      </c>
      <c r="V18" s="39" t="s">
        <v>139</v>
      </c>
      <c r="W18" s="39" t="s">
        <v>139</v>
      </c>
      <c r="X18" s="39" t="s">
        <v>139</v>
      </c>
      <c r="Z18" s="40" t="str">
        <f t="shared" si="0"/>
        <v>EXECUTE [dbo].[PG_CI_UNIDAD_OPERATIVA] 0, 0, 16, 'BENITO JUAREZ', 'BENITO JUAREZ', 'BJREZ', 160, 1, 10, 30, 29, 19, 12, 1030, '', '', '', '', '', '', '', '', ''</v>
      </c>
      <c r="AK18" s="25" t="s">
        <v>15</v>
      </c>
    </row>
    <row r="19" spans="2:37" ht="14.4" hidden="1" x14ac:dyDescent="0.3">
      <c r="B19" s="23">
        <v>0</v>
      </c>
      <c r="C19" s="23">
        <v>0</v>
      </c>
      <c r="D19" s="24">
        <v>17</v>
      </c>
      <c r="E19" s="25" t="s">
        <v>16</v>
      </c>
      <c r="F19" s="25" t="s">
        <v>16</v>
      </c>
      <c r="G19" s="42" t="s">
        <v>148</v>
      </c>
      <c r="H19" s="23">
        <f t="shared" si="1"/>
        <v>170</v>
      </c>
      <c r="I19" s="23">
        <v>1</v>
      </c>
      <c r="J19" s="44">
        <v>10</v>
      </c>
      <c r="K19" s="54">
        <v>30</v>
      </c>
      <c r="L19" s="23">
        <v>31</v>
      </c>
      <c r="M19" s="64">
        <v>46</v>
      </c>
      <c r="N19" s="23">
        <v>28</v>
      </c>
      <c r="O19" s="41">
        <v>1030</v>
      </c>
      <c r="P19" s="39" t="s">
        <v>139</v>
      </c>
      <c r="Q19" s="39" t="s">
        <v>139</v>
      </c>
      <c r="R19" s="39" t="s">
        <v>139</v>
      </c>
      <c r="S19" s="39" t="s">
        <v>139</v>
      </c>
      <c r="T19" s="39" t="s">
        <v>139</v>
      </c>
      <c r="U19" s="39" t="s">
        <v>139</v>
      </c>
      <c r="V19" s="39" t="s">
        <v>139</v>
      </c>
      <c r="W19" s="39" t="s">
        <v>139</v>
      </c>
      <c r="X19" s="39" t="s">
        <v>139</v>
      </c>
      <c r="Z19" s="40" t="str">
        <f t="shared" si="0"/>
        <v>EXECUTE [dbo].[PG_CI_UNIDAD_OPERATIVA] 0, 0, 17, 'HIDRO II', 'HIDRO II', 'HID.2', 170, 1, 10, 30, 31, 46, 28, 1030, '', '', '', '', '', '', '', '', ''</v>
      </c>
      <c r="AK19" s="25" t="s">
        <v>16</v>
      </c>
    </row>
    <row r="20" spans="2:37" ht="14.4" hidden="1" x14ac:dyDescent="0.3">
      <c r="B20" s="23">
        <v>0</v>
      </c>
      <c r="C20" s="23">
        <v>0</v>
      </c>
      <c r="D20" s="24">
        <v>18</v>
      </c>
      <c r="E20" s="25" t="s">
        <v>25</v>
      </c>
      <c r="F20" s="25" t="s">
        <v>25</v>
      </c>
      <c r="G20" s="42" t="s">
        <v>158</v>
      </c>
      <c r="H20" s="23">
        <f t="shared" si="1"/>
        <v>180</v>
      </c>
      <c r="I20" s="23">
        <v>1</v>
      </c>
      <c r="J20" s="44">
        <v>10</v>
      </c>
      <c r="K20" s="55">
        <v>70</v>
      </c>
      <c r="L20" s="23">
        <v>53</v>
      </c>
      <c r="M20" s="64">
        <v>6</v>
      </c>
      <c r="N20" s="23">
        <v>11</v>
      </c>
      <c r="O20" s="41">
        <v>1050</v>
      </c>
      <c r="P20" s="39" t="s">
        <v>139</v>
      </c>
      <c r="Q20" s="39" t="s">
        <v>139</v>
      </c>
      <c r="R20" s="39" t="s">
        <v>139</v>
      </c>
      <c r="S20" s="39" t="s">
        <v>139</v>
      </c>
      <c r="T20" s="39" t="s">
        <v>139</v>
      </c>
      <c r="U20" s="39" t="s">
        <v>139</v>
      </c>
      <c r="V20" s="39" t="s">
        <v>139</v>
      </c>
      <c r="W20" s="39" t="s">
        <v>139</v>
      </c>
      <c r="X20" s="39" t="s">
        <v>139</v>
      </c>
      <c r="Z20" s="40" t="str">
        <f t="shared" si="0"/>
        <v>EXECUTE [dbo].[PG_CI_UNIDAD_OPERATIVA] 0, 0, 18, 'GAS CHAPULTEPEC', 'GAS CHAPULTEPEC', 'GCHAP', 180, 1, 10, 70, 53, 6, 11, 1050, '', '', '', '', '', '', '', '', ''</v>
      </c>
      <c r="AK20" s="25" t="s">
        <v>25</v>
      </c>
    </row>
    <row r="21" spans="2:37" ht="14.4" hidden="1" x14ac:dyDescent="0.3">
      <c r="B21" s="23">
        <v>0</v>
      </c>
      <c r="C21" s="23">
        <v>0</v>
      </c>
      <c r="D21" s="24">
        <v>19</v>
      </c>
      <c r="E21" s="25" t="s">
        <v>26</v>
      </c>
      <c r="F21" s="25" t="s">
        <v>26</v>
      </c>
      <c r="G21" s="41" t="s">
        <v>159</v>
      </c>
      <c r="H21" s="23">
        <f t="shared" si="1"/>
        <v>190</v>
      </c>
      <c r="I21" s="23">
        <v>1</v>
      </c>
      <c r="J21" s="44">
        <v>10</v>
      </c>
      <c r="K21" s="54">
        <v>20</v>
      </c>
      <c r="L21" s="23">
        <v>81</v>
      </c>
      <c r="M21" s="64">
        <v>36</v>
      </c>
      <c r="N21" s="23">
        <v>15</v>
      </c>
      <c r="O21" s="41">
        <v>1070</v>
      </c>
      <c r="P21" s="39" t="s">
        <v>139</v>
      </c>
      <c r="Q21" s="39" t="s">
        <v>139</v>
      </c>
      <c r="R21" s="39" t="s">
        <v>139</v>
      </c>
      <c r="S21" s="39" t="s">
        <v>139</v>
      </c>
      <c r="T21" s="39" t="s">
        <v>139</v>
      </c>
      <c r="U21" s="39" t="s">
        <v>139</v>
      </c>
      <c r="V21" s="39" t="s">
        <v>139</v>
      </c>
      <c r="W21" s="39" t="s">
        <v>139</v>
      </c>
      <c r="X21" s="39" t="s">
        <v>139</v>
      </c>
      <c r="Z21" s="40" t="str">
        <f t="shared" si="0"/>
        <v>EXECUTE [dbo].[PG_CI_UNIDAD_OPERATIVA] 0, 0, 19, 'GAS TOMZA DE PUEBLA', 'GAS TOMZA DE PUEBLA', 'GTPUE', 190, 1, 10, 20, 81, 36, 15, 1070, '', '', '', '', '', '', '', '', ''</v>
      </c>
      <c r="AK21" s="25" t="s">
        <v>26</v>
      </c>
    </row>
    <row r="22" spans="2:37" ht="14.4" hidden="1" x14ac:dyDescent="0.3">
      <c r="B22" s="23">
        <v>0</v>
      </c>
      <c r="C22" s="23">
        <v>0</v>
      </c>
      <c r="D22" s="24">
        <v>20</v>
      </c>
      <c r="E22" s="25" t="s">
        <v>27</v>
      </c>
      <c r="F22" s="25" t="s">
        <v>27</v>
      </c>
      <c r="G22" s="42" t="s">
        <v>160</v>
      </c>
      <c r="H22" s="23">
        <f t="shared" si="1"/>
        <v>200</v>
      </c>
      <c r="I22" s="23">
        <v>1</v>
      </c>
      <c r="J22" s="44">
        <v>10</v>
      </c>
      <c r="K22" s="55">
        <v>70</v>
      </c>
      <c r="L22" s="23">
        <v>51</v>
      </c>
      <c r="M22" s="64">
        <v>8</v>
      </c>
      <c r="N22" s="23">
        <v>23</v>
      </c>
      <c r="O22" s="41">
        <v>1050</v>
      </c>
      <c r="P22" s="39" t="s">
        <v>139</v>
      </c>
      <c r="Q22" s="39" t="s">
        <v>139</v>
      </c>
      <c r="R22" s="39" t="s">
        <v>139</v>
      </c>
      <c r="S22" s="39" t="s">
        <v>139</v>
      </c>
      <c r="T22" s="39" t="s">
        <v>139</v>
      </c>
      <c r="U22" s="39" t="s">
        <v>139</v>
      </c>
      <c r="V22" s="39" t="s">
        <v>139</v>
      </c>
      <c r="W22" s="39" t="s">
        <v>139</v>
      </c>
      <c r="X22" s="39" t="s">
        <v>139</v>
      </c>
      <c r="Z22" s="40" t="str">
        <f t="shared" si="0"/>
        <v>EXECUTE [dbo].[PG_CI_UNIDAD_OPERATIVA] 0, 0, 20, 'GAS Y SERVICIO', 'GAS Y SERVICIO', 'GASYS', 200, 1, 10, 70, 51, 8, 23, 1050, '', '', '', '', '', '', '', '', ''</v>
      </c>
      <c r="AK22" s="25" t="s">
        <v>27</v>
      </c>
    </row>
    <row r="23" spans="2:37" ht="14.4" hidden="1" x14ac:dyDescent="0.3">
      <c r="B23" s="23">
        <v>0</v>
      </c>
      <c r="C23" s="23">
        <v>0</v>
      </c>
      <c r="D23" s="24">
        <v>21</v>
      </c>
      <c r="E23" s="25" t="s">
        <v>28</v>
      </c>
      <c r="F23" s="25" t="s">
        <v>28</v>
      </c>
      <c r="G23" s="42" t="s">
        <v>161</v>
      </c>
      <c r="H23" s="23">
        <f t="shared" si="1"/>
        <v>210</v>
      </c>
      <c r="I23" s="23">
        <v>1</v>
      </c>
      <c r="J23" s="44">
        <v>10</v>
      </c>
      <c r="K23" s="55">
        <v>70</v>
      </c>
      <c r="L23" s="23">
        <v>50</v>
      </c>
      <c r="M23" s="64">
        <v>11</v>
      </c>
      <c r="N23" s="23">
        <v>25</v>
      </c>
      <c r="O23" s="41">
        <v>1050</v>
      </c>
      <c r="P23" s="39" t="s">
        <v>139</v>
      </c>
      <c r="Q23" s="39" t="s">
        <v>139</v>
      </c>
      <c r="R23" s="39" t="s">
        <v>139</v>
      </c>
      <c r="S23" s="39" t="s">
        <v>139</v>
      </c>
      <c r="T23" s="39" t="s">
        <v>139</v>
      </c>
      <c r="U23" s="39" t="s">
        <v>139</v>
      </c>
      <c r="V23" s="39" t="s">
        <v>139</v>
      </c>
      <c r="W23" s="39" t="s">
        <v>139</v>
      </c>
      <c r="X23" s="39" t="s">
        <v>139</v>
      </c>
      <c r="Z23" s="40" t="str">
        <f t="shared" si="0"/>
        <v>EXECUTE [dbo].[PG_CI_UNIDAD_OPERATIVA] 0, 0, 21, 'GASOMATICO', 'GASOMATICO', 'GSOMT', 210, 1, 10, 70, 50, 11, 25, 1050, '', '', '', '', '', '', '', '', ''</v>
      </c>
      <c r="AK23" s="25" t="s">
        <v>28</v>
      </c>
    </row>
    <row r="24" spans="2:37" ht="14.4" hidden="1" x14ac:dyDescent="0.3">
      <c r="B24" s="23">
        <v>0</v>
      </c>
      <c r="C24" s="23">
        <v>0</v>
      </c>
      <c r="D24" s="24">
        <v>22</v>
      </c>
      <c r="E24" s="25" t="s">
        <v>29</v>
      </c>
      <c r="F24" s="25" t="s">
        <v>29</v>
      </c>
      <c r="G24" s="42" t="s">
        <v>163</v>
      </c>
      <c r="H24" s="23">
        <f t="shared" si="1"/>
        <v>220</v>
      </c>
      <c r="I24" s="23">
        <v>1</v>
      </c>
      <c r="J24" s="44">
        <v>20</v>
      </c>
      <c r="K24" s="54">
        <v>20</v>
      </c>
      <c r="L24" s="23">
        <v>58</v>
      </c>
      <c r="M24" s="64">
        <v>38</v>
      </c>
      <c r="N24" s="23">
        <v>19</v>
      </c>
      <c r="O24" s="41">
        <v>1160</v>
      </c>
      <c r="P24" s="39" t="s">
        <v>139</v>
      </c>
      <c r="Q24" s="39" t="s">
        <v>139</v>
      </c>
      <c r="R24" s="39" t="s">
        <v>139</v>
      </c>
      <c r="S24" s="39" t="s">
        <v>139</v>
      </c>
      <c r="T24" s="39" t="s">
        <v>139</v>
      </c>
      <c r="U24" s="39" t="s">
        <v>139</v>
      </c>
      <c r="V24" s="39" t="s">
        <v>139</v>
      </c>
      <c r="W24" s="39" t="s">
        <v>139</v>
      </c>
      <c r="X24" s="39" t="s">
        <v>139</v>
      </c>
      <c r="Z24" s="40" t="str">
        <f t="shared" si="0"/>
        <v>EXECUTE [dbo].[PG_CI_UNIDAD_OPERATIVA] 0, 0, 22, 'GTM-TEPEJI', 'GTM-TEPEJI', 'TEPJI', 220, 1, 20, 20, 58, 38, 19, 1160, '', '', '', '', '', '', '', '', ''</v>
      </c>
      <c r="AK24" s="25" t="s">
        <v>29</v>
      </c>
    </row>
    <row r="25" spans="2:37" ht="14.4" hidden="1" x14ac:dyDescent="0.3">
      <c r="B25" s="23">
        <v>0</v>
      </c>
      <c r="C25" s="23">
        <v>0</v>
      </c>
      <c r="D25" s="24">
        <v>23</v>
      </c>
      <c r="E25" s="25" t="s">
        <v>30</v>
      </c>
      <c r="F25" s="25" t="s">
        <v>30</v>
      </c>
      <c r="G25" s="42" t="s">
        <v>162</v>
      </c>
      <c r="H25" s="23">
        <f t="shared" si="1"/>
        <v>230</v>
      </c>
      <c r="I25" s="23">
        <v>1</v>
      </c>
      <c r="J25" s="44">
        <v>10</v>
      </c>
      <c r="K25" s="55">
        <v>70</v>
      </c>
      <c r="L25" s="23">
        <v>52</v>
      </c>
      <c r="M25" s="64">
        <v>13</v>
      </c>
      <c r="N25" s="23">
        <v>6</v>
      </c>
      <c r="O25" s="41">
        <v>1050</v>
      </c>
      <c r="P25" s="39" t="s">
        <v>139</v>
      </c>
      <c r="Q25" s="39" t="s">
        <v>139</v>
      </c>
      <c r="R25" s="39" t="s">
        <v>139</v>
      </c>
      <c r="S25" s="39" t="s">
        <v>139</v>
      </c>
      <c r="T25" s="39" t="s">
        <v>139</v>
      </c>
      <c r="U25" s="39" t="s">
        <v>139</v>
      </c>
      <c r="V25" s="39" t="s">
        <v>139</v>
      </c>
      <c r="W25" s="39" t="s">
        <v>139</v>
      </c>
      <c r="X25" s="39" t="s">
        <v>139</v>
      </c>
      <c r="Z25" s="40" t="str">
        <f t="shared" si="0"/>
        <v>EXECUTE [dbo].[PG_CI_UNIDAD_OPERATIVA] 0, 0, 23, 'MEXICANA DE GAS', 'MEXICANA DE GAS', 'MEXGS', 230, 1, 10, 70, 52, 13, 6, 1050, '', '', '', '', '', '', '', '', ''</v>
      </c>
      <c r="AK25" s="25" t="s">
        <v>30</v>
      </c>
    </row>
    <row r="26" spans="2:37" ht="14.4" hidden="1" x14ac:dyDescent="0.3">
      <c r="B26" s="23">
        <v>0</v>
      </c>
      <c r="C26" s="23">
        <v>0</v>
      </c>
      <c r="D26" s="24">
        <v>24</v>
      </c>
      <c r="E26" s="25" t="s">
        <v>31</v>
      </c>
      <c r="F26" s="25" t="s">
        <v>31</v>
      </c>
      <c r="G26" s="42" t="s">
        <v>164</v>
      </c>
      <c r="H26" s="23">
        <f t="shared" si="1"/>
        <v>240</v>
      </c>
      <c r="I26" s="23">
        <v>1</v>
      </c>
      <c r="J26" s="44">
        <v>10</v>
      </c>
      <c r="K26" s="55">
        <v>70</v>
      </c>
      <c r="L26" s="23">
        <v>49</v>
      </c>
      <c r="M26" s="64">
        <v>14</v>
      </c>
      <c r="N26" s="23">
        <v>42</v>
      </c>
      <c r="O26" s="41">
        <v>1050</v>
      </c>
      <c r="P26" s="39" t="s">
        <v>139</v>
      </c>
      <c r="Q26" s="39" t="s">
        <v>139</v>
      </c>
      <c r="R26" s="39" t="s">
        <v>139</v>
      </c>
      <c r="S26" s="39" t="s">
        <v>139</v>
      </c>
      <c r="T26" s="39" t="s">
        <v>139</v>
      </c>
      <c r="U26" s="39" t="s">
        <v>139</v>
      </c>
      <c r="V26" s="39" t="s">
        <v>139</v>
      </c>
      <c r="W26" s="39" t="s">
        <v>139</v>
      </c>
      <c r="X26" s="39" t="s">
        <v>139</v>
      </c>
      <c r="Z26" s="40" t="str">
        <f t="shared" si="0"/>
        <v>EXECUTE [dbo].[PG_CI_UNIDAD_OPERATIVA] 0, 0, 24, 'UNIGAS TLAHUAC', 'UNIGAS TLAHUAC', 'UNITL', 240, 1, 10, 70, 49, 14, 42, 1050, '', '', '', '', '', '', '', '', ''</v>
      </c>
      <c r="AK26" s="25" t="s">
        <v>31</v>
      </c>
    </row>
    <row r="27" spans="2:37" ht="14.4" hidden="1" x14ac:dyDescent="0.3">
      <c r="B27" s="23">
        <v>0</v>
      </c>
      <c r="C27" s="23">
        <v>0</v>
      </c>
      <c r="D27" s="24">
        <v>25</v>
      </c>
      <c r="E27" s="25" t="s">
        <v>32</v>
      </c>
      <c r="F27" s="25" t="s">
        <v>32</v>
      </c>
      <c r="G27" s="42" t="s">
        <v>165</v>
      </c>
      <c r="H27" s="23">
        <f t="shared" si="1"/>
        <v>250</v>
      </c>
      <c r="I27" s="23">
        <v>1</v>
      </c>
      <c r="J27" s="44">
        <v>10</v>
      </c>
      <c r="K27" s="54">
        <v>20</v>
      </c>
      <c r="L27" s="23">
        <v>80</v>
      </c>
      <c r="M27" s="64">
        <v>10</v>
      </c>
      <c r="N27" s="23">
        <v>42</v>
      </c>
      <c r="O27" s="41">
        <v>1050</v>
      </c>
      <c r="P27" s="39" t="s">
        <v>139</v>
      </c>
      <c r="Q27" s="39" t="s">
        <v>139</v>
      </c>
      <c r="R27" s="39" t="s">
        <v>139</v>
      </c>
      <c r="S27" s="39" t="s">
        <v>139</v>
      </c>
      <c r="T27" s="39" t="s">
        <v>139</v>
      </c>
      <c r="U27" s="39" t="s">
        <v>139</v>
      </c>
      <c r="V27" s="39" t="s">
        <v>139</v>
      </c>
      <c r="W27" s="39" t="s">
        <v>139</v>
      </c>
      <c r="X27" s="39" t="s">
        <v>139</v>
      </c>
      <c r="Z27" s="40" t="str">
        <f t="shared" si="0"/>
        <v>EXECUTE [dbo].[PG_CI_UNIDAD_OPERATIVA] 0, 0, 25, 'UNIGAS TOLUCA', 'UNIGAS TOLUCA', 'UNITO', 250, 1, 10, 20, 80, 10, 42, 1050, '', '', '', '', '', '', '', '', ''</v>
      </c>
      <c r="AK27" s="25" t="s">
        <v>32</v>
      </c>
    </row>
    <row r="28" spans="2:37" ht="14.4" hidden="1" x14ac:dyDescent="0.3">
      <c r="B28" s="23">
        <v>0</v>
      </c>
      <c r="C28" s="23">
        <v>0</v>
      </c>
      <c r="D28" s="24">
        <v>26</v>
      </c>
      <c r="E28" s="25" t="s">
        <v>33</v>
      </c>
      <c r="F28" s="25" t="s">
        <v>33</v>
      </c>
      <c r="G28" s="42" t="s">
        <v>166</v>
      </c>
      <c r="H28" s="23">
        <f t="shared" si="1"/>
        <v>260</v>
      </c>
      <c r="I28" s="23">
        <v>1</v>
      </c>
      <c r="J28" s="44">
        <v>10</v>
      </c>
      <c r="K28" s="54">
        <v>20</v>
      </c>
      <c r="L28" s="23">
        <v>55</v>
      </c>
      <c r="M28" s="64">
        <v>12</v>
      </c>
      <c r="N28" s="23">
        <v>7</v>
      </c>
      <c r="O28" s="41">
        <v>1070</v>
      </c>
      <c r="P28" s="39" t="s">
        <v>139</v>
      </c>
      <c r="Q28" s="39" t="s">
        <v>139</v>
      </c>
      <c r="R28" s="39" t="s">
        <v>139</v>
      </c>
      <c r="S28" s="39" t="s">
        <v>139</v>
      </c>
      <c r="T28" s="39" t="s">
        <v>139</v>
      </c>
      <c r="U28" s="39" t="s">
        <v>139</v>
      </c>
      <c r="V28" s="39" t="s">
        <v>139</v>
      </c>
      <c r="W28" s="39" t="s">
        <v>139</v>
      </c>
      <c r="X28" s="39" t="s">
        <v>139</v>
      </c>
      <c r="Z28" s="40" t="str">
        <f t="shared" si="0"/>
        <v>EXECUTE [dbo].[PG_CI_UNIDAD_OPERATIVA] 0, 0, 26, 'TEHUACAN', 'TEHUACAN', 'TEHCN', 260, 1, 10, 20, 55, 12, 7, 1070, '', '', '', '', '', '', '', '', ''</v>
      </c>
      <c r="AK28" s="25" t="s">
        <v>33</v>
      </c>
    </row>
    <row r="29" spans="2:37" ht="14.4" hidden="1" x14ac:dyDescent="0.3">
      <c r="B29" s="23">
        <v>0</v>
      </c>
      <c r="C29" s="23">
        <v>0</v>
      </c>
      <c r="D29" s="24">
        <v>27</v>
      </c>
      <c r="E29" s="25" t="s">
        <v>34</v>
      </c>
      <c r="F29" s="25" t="s">
        <v>34</v>
      </c>
      <c r="G29" s="42" t="s">
        <v>113</v>
      </c>
      <c r="H29" s="23">
        <f t="shared" si="1"/>
        <v>270</v>
      </c>
      <c r="I29" s="23">
        <v>1</v>
      </c>
      <c r="J29" s="44">
        <v>10</v>
      </c>
      <c r="K29" s="54">
        <v>20</v>
      </c>
      <c r="L29" s="23">
        <v>59</v>
      </c>
      <c r="M29" s="64">
        <v>72</v>
      </c>
      <c r="N29" s="23">
        <v>19</v>
      </c>
      <c r="O29" s="41">
        <v>1140</v>
      </c>
      <c r="P29" s="39" t="s">
        <v>139</v>
      </c>
      <c r="Q29" s="39" t="s">
        <v>139</v>
      </c>
      <c r="R29" s="39" t="s">
        <v>139</v>
      </c>
      <c r="S29" s="39" t="s">
        <v>139</v>
      </c>
      <c r="T29" s="39" t="s">
        <v>139</v>
      </c>
      <c r="U29" s="39" t="s">
        <v>139</v>
      </c>
      <c r="V29" s="39" t="s">
        <v>139</v>
      </c>
      <c r="W29" s="39" t="s">
        <v>139</v>
      </c>
      <c r="X29" s="39" t="s">
        <v>139</v>
      </c>
      <c r="Z29" s="40" t="str">
        <f t="shared" si="0"/>
        <v>EXECUTE [dbo].[PG_CI_UNIDAD_OPERATIVA] 0, 0, 27, 'SAN LUIS POTOSI', 'SAN LUIS POTOSI', 'SLPTS', 270, 1, 10, 20, 59, 72, 19, 1140, '', '', '', '', '', '', '', '', ''</v>
      </c>
      <c r="AK29" s="25" t="s">
        <v>34</v>
      </c>
    </row>
    <row r="30" spans="2:37" ht="14.4" hidden="1" x14ac:dyDescent="0.3">
      <c r="B30" s="23">
        <v>0</v>
      </c>
      <c r="C30" s="23">
        <v>0</v>
      </c>
      <c r="D30" s="24">
        <v>28</v>
      </c>
      <c r="E30" s="25" t="s">
        <v>35</v>
      </c>
      <c r="F30" s="25" t="s">
        <v>35</v>
      </c>
      <c r="G30" s="42" t="s">
        <v>112</v>
      </c>
      <c r="H30" s="23">
        <f t="shared" si="1"/>
        <v>280</v>
      </c>
      <c r="I30" s="23">
        <v>1</v>
      </c>
      <c r="J30" s="44">
        <v>10</v>
      </c>
      <c r="K30" s="54">
        <v>20</v>
      </c>
      <c r="L30" s="23">
        <v>60</v>
      </c>
      <c r="M30" s="64">
        <v>71</v>
      </c>
      <c r="N30" s="23">
        <v>19</v>
      </c>
      <c r="O30" s="41">
        <v>1150</v>
      </c>
      <c r="P30" s="39" t="s">
        <v>139</v>
      </c>
      <c r="Q30" s="39" t="s">
        <v>139</v>
      </c>
      <c r="R30" s="39" t="s">
        <v>139</v>
      </c>
      <c r="S30" s="39" t="s">
        <v>139</v>
      </c>
      <c r="T30" s="39" t="s">
        <v>139</v>
      </c>
      <c r="U30" s="39" t="s">
        <v>139</v>
      </c>
      <c r="V30" s="39" t="s">
        <v>139</v>
      </c>
      <c r="W30" s="39" t="s">
        <v>139</v>
      </c>
      <c r="X30" s="39" t="s">
        <v>139</v>
      </c>
      <c r="Z30" s="40" t="str">
        <f t="shared" si="0"/>
        <v>EXECUTE [dbo].[PG_CI_UNIDAD_OPERATIVA] 0, 0, 28, 'QUERETARO', 'QUERETARO', 'QRTRO', 280, 1, 10, 20, 60, 71, 19, 1150, '', '', '', '', '', '', '', '', ''</v>
      </c>
      <c r="AK30" s="25" t="s">
        <v>35</v>
      </c>
    </row>
    <row r="31" spans="2:37" ht="14.4" hidden="1" x14ac:dyDescent="0.3">
      <c r="B31" s="23">
        <v>0</v>
      </c>
      <c r="C31" s="23">
        <v>0</v>
      </c>
      <c r="D31" s="24">
        <v>29</v>
      </c>
      <c r="E31" s="25" t="s">
        <v>36</v>
      </c>
      <c r="F31" s="25" t="s">
        <v>36</v>
      </c>
      <c r="G31" s="42" t="s">
        <v>167</v>
      </c>
      <c r="H31" s="23">
        <f t="shared" si="1"/>
        <v>290</v>
      </c>
      <c r="I31" s="23">
        <v>1</v>
      </c>
      <c r="J31" s="44">
        <v>10</v>
      </c>
      <c r="K31" s="54">
        <v>20</v>
      </c>
      <c r="L31" s="23">
        <v>56</v>
      </c>
      <c r="M31" s="64">
        <v>37</v>
      </c>
      <c r="N31" s="23">
        <v>21</v>
      </c>
      <c r="O31" s="41">
        <v>1170</v>
      </c>
      <c r="P31" s="39" t="s">
        <v>139</v>
      </c>
      <c r="Q31" s="39" t="s">
        <v>139</v>
      </c>
      <c r="R31" s="39" t="s">
        <v>139</v>
      </c>
      <c r="S31" s="39" t="s">
        <v>139</v>
      </c>
      <c r="T31" s="39" t="s">
        <v>139</v>
      </c>
      <c r="U31" s="39" t="s">
        <v>139</v>
      </c>
      <c r="V31" s="39" t="s">
        <v>139</v>
      </c>
      <c r="W31" s="39" t="s">
        <v>139</v>
      </c>
      <c r="X31" s="39" t="s">
        <v>139</v>
      </c>
      <c r="Z31" s="40" t="str">
        <f t="shared" si="0"/>
        <v>EXECUTE [dbo].[PG_CI_UNIDAD_OPERATIVA] 0, 0, 29, 'GAS URIBE', 'GAS URIBE', 'URIBE', 290, 1, 10, 20, 56, 37, 21, 1170, '', '', '', '', '', '', '', '', ''</v>
      </c>
      <c r="AK31" s="25" t="s">
        <v>36</v>
      </c>
    </row>
    <row r="32" spans="2:37" ht="14.4" hidden="1" x14ac:dyDescent="0.3">
      <c r="B32" s="23">
        <v>0</v>
      </c>
      <c r="C32" s="23">
        <v>0</v>
      </c>
      <c r="D32" s="24">
        <v>30</v>
      </c>
      <c r="E32" s="25" t="s">
        <v>37</v>
      </c>
      <c r="F32" s="25" t="s">
        <v>37</v>
      </c>
      <c r="G32" s="42" t="s">
        <v>168</v>
      </c>
      <c r="H32" s="23">
        <f t="shared" si="1"/>
        <v>300</v>
      </c>
      <c r="I32" s="23">
        <v>1</v>
      </c>
      <c r="J32" s="44">
        <v>10</v>
      </c>
      <c r="K32" s="54">
        <v>40</v>
      </c>
      <c r="L32" s="23">
        <v>39</v>
      </c>
      <c r="M32" s="64">
        <v>85</v>
      </c>
      <c r="N32" s="23">
        <v>10</v>
      </c>
      <c r="O32" s="41">
        <v>1042</v>
      </c>
      <c r="P32" s="39" t="s">
        <v>139</v>
      </c>
      <c r="Q32" s="39" t="s">
        <v>139</v>
      </c>
      <c r="R32" s="39" t="s">
        <v>139</v>
      </c>
      <c r="S32" s="39" t="s">
        <v>139</v>
      </c>
      <c r="T32" s="39" t="s">
        <v>139</v>
      </c>
      <c r="U32" s="39" t="s">
        <v>139</v>
      </c>
      <c r="V32" s="39" t="s">
        <v>139</v>
      </c>
      <c r="W32" s="39" t="s">
        <v>139</v>
      </c>
      <c r="X32" s="39" t="s">
        <v>139</v>
      </c>
      <c r="Z32" s="40" t="str">
        <f t="shared" si="0"/>
        <v>EXECUTE [dbo].[PG_CI_UNIDAD_OPERATIVA] 0, 0, 30, 'ZAPOPAN', 'ZAPOPAN', 'ZAPPN', 300, 1, 10, 40, 39, 85, 10, 1042, '', '', '', '', '', '', '', '', ''</v>
      </c>
      <c r="AK32" s="25" t="s">
        <v>37</v>
      </c>
    </row>
    <row r="33" spans="2:37" ht="14.4" hidden="1" x14ac:dyDescent="0.3">
      <c r="B33" s="23">
        <v>0</v>
      </c>
      <c r="C33" s="23">
        <v>0</v>
      </c>
      <c r="D33" s="24">
        <v>31</v>
      </c>
      <c r="E33" s="25" t="s">
        <v>38</v>
      </c>
      <c r="F33" s="25" t="s">
        <v>38</v>
      </c>
      <c r="G33" s="42" t="s">
        <v>169</v>
      </c>
      <c r="H33" s="23">
        <f t="shared" si="1"/>
        <v>310</v>
      </c>
      <c r="I33" s="23">
        <v>1</v>
      </c>
      <c r="J33" s="44">
        <v>10</v>
      </c>
      <c r="K33" s="54">
        <v>20</v>
      </c>
      <c r="L33" s="23">
        <v>57</v>
      </c>
      <c r="M33" s="64">
        <v>9</v>
      </c>
      <c r="N33" s="23">
        <v>26</v>
      </c>
      <c r="O33" s="41">
        <v>1170</v>
      </c>
      <c r="P33" s="39" t="s">
        <v>139</v>
      </c>
      <c r="Q33" s="39" t="s">
        <v>139</v>
      </c>
      <c r="R33" s="39" t="s">
        <v>139</v>
      </c>
      <c r="S33" s="39" t="s">
        <v>139</v>
      </c>
      <c r="T33" s="39" t="s">
        <v>139</v>
      </c>
      <c r="U33" s="39" t="s">
        <v>139</v>
      </c>
      <c r="V33" s="39" t="s">
        <v>139</v>
      </c>
      <c r="W33" s="39" t="s">
        <v>139</v>
      </c>
      <c r="X33" s="39" t="s">
        <v>139</v>
      </c>
      <c r="Z33" s="40" t="str">
        <f t="shared" si="0"/>
        <v>EXECUTE [dbo].[PG_CI_UNIDAD_OPERATIVA] 0, 0, 31, 'HIDROGAS ACAPULCO', 'HIDROGAS ACAPULCO', 'HGACA', 310, 1, 10, 20, 57, 9, 26, 1170, '', '', '', '', '', '', '', '', ''</v>
      </c>
      <c r="AK33" s="25" t="s">
        <v>38</v>
      </c>
    </row>
    <row r="34" spans="2:37" ht="14.4" hidden="1" x14ac:dyDescent="0.3">
      <c r="B34" s="23">
        <v>0</v>
      </c>
      <c r="C34" s="23">
        <v>0</v>
      </c>
      <c r="D34" s="24">
        <v>32</v>
      </c>
      <c r="E34" s="25" t="s">
        <v>39</v>
      </c>
      <c r="F34" s="25" t="s">
        <v>39</v>
      </c>
      <c r="G34" s="41" t="s">
        <v>170</v>
      </c>
      <c r="H34" s="23">
        <f t="shared" si="1"/>
        <v>320</v>
      </c>
      <c r="I34" s="23">
        <v>1</v>
      </c>
      <c r="J34" s="44">
        <v>10</v>
      </c>
      <c r="K34" s="54">
        <v>20</v>
      </c>
      <c r="L34" s="23">
        <v>105</v>
      </c>
      <c r="M34" s="64">
        <v>56</v>
      </c>
      <c r="N34" s="23">
        <v>91</v>
      </c>
      <c r="O34" s="41">
        <v>1180</v>
      </c>
      <c r="P34" s="39" t="s">
        <v>139</v>
      </c>
      <c r="Q34" s="39" t="s">
        <v>139</v>
      </c>
      <c r="R34" s="39" t="s">
        <v>139</v>
      </c>
      <c r="S34" s="39" t="s">
        <v>139</v>
      </c>
      <c r="T34" s="39" t="s">
        <v>139</v>
      </c>
      <c r="U34" s="39" t="s">
        <v>139</v>
      </c>
      <c r="V34" s="39" t="s">
        <v>139</v>
      </c>
      <c r="W34" s="39" t="s">
        <v>139</v>
      </c>
      <c r="X34" s="39" t="s">
        <v>139</v>
      </c>
      <c r="Z34" s="40" t="str">
        <f t="shared" si="0"/>
        <v>EXECUTE [dbo].[PG_CI_UNIDAD_OPERATIVA] 0, 0, 32, 'MORELOS', 'MORELOS', 'MORLS', 320, 1, 10, 20, 105, 56, 91, 1180, '', '', '', '', '', '', '', '', ''</v>
      </c>
      <c r="AK34" s="25" t="s">
        <v>39</v>
      </c>
    </row>
    <row r="35" spans="2:37" ht="14.4" hidden="1" x14ac:dyDescent="0.3">
      <c r="B35" s="23">
        <v>0</v>
      </c>
      <c r="C35" s="23">
        <v>0</v>
      </c>
      <c r="D35" s="24">
        <v>33</v>
      </c>
      <c r="E35" s="25" t="s">
        <v>41</v>
      </c>
      <c r="F35" s="25" t="s">
        <v>41</v>
      </c>
      <c r="G35" s="42" t="s">
        <v>171</v>
      </c>
      <c r="H35" s="23">
        <f t="shared" si="1"/>
        <v>330</v>
      </c>
      <c r="I35" s="23">
        <v>1</v>
      </c>
      <c r="J35" s="44">
        <v>10</v>
      </c>
      <c r="K35" s="54">
        <v>10</v>
      </c>
      <c r="L35" s="23">
        <v>4</v>
      </c>
      <c r="M35" s="64">
        <v>80</v>
      </c>
      <c r="N35" s="23">
        <v>16</v>
      </c>
      <c r="O35" s="41">
        <v>1010</v>
      </c>
      <c r="P35" s="39" t="s">
        <v>139</v>
      </c>
      <c r="Q35" s="39" t="s">
        <v>139</v>
      </c>
      <c r="R35" s="39" t="s">
        <v>139</v>
      </c>
      <c r="S35" s="39" t="s">
        <v>139</v>
      </c>
      <c r="T35" s="39" t="s">
        <v>139</v>
      </c>
      <c r="U35" s="39" t="s">
        <v>139</v>
      </c>
      <c r="V35" s="39" t="s">
        <v>139</v>
      </c>
      <c r="W35" s="39" t="s">
        <v>139</v>
      </c>
      <c r="X35" s="39" t="s">
        <v>139</v>
      </c>
      <c r="Z35" s="40" t="str">
        <f t="shared" si="0"/>
        <v>EXECUTE [dbo].[PG_CI_UNIDAD_OPERATIVA] 0, 0, 33, 'TIJUANA', 'TIJUANA', 'TIJNA', 330, 1, 10, 10, 4, 80, 16, 1010, '', '', '', '', '', '', '', '', ''</v>
      </c>
      <c r="AK35" s="25" t="s">
        <v>41</v>
      </c>
    </row>
    <row r="36" spans="2:37" ht="14.4" hidden="1" x14ac:dyDescent="0.3">
      <c r="B36" s="23">
        <v>0</v>
      </c>
      <c r="C36" s="23">
        <v>0</v>
      </c>
      <c r="D36" s="24">
        <v>34</v>
      </c>
      <c r="E36" s="25" t="s">
        <v>42</v>
      </c>
      <c r="F36" s="25" t="s">
        <v>42</v>
      </c>
      <c r="G36" s="42" t="s">
        <v>172</v>
      </c>
      <c r="H36" s="23">
        <f t="shared" si="1"/>
        <v>340</v>
      </c>
      <c r="I36" s="23">
        <v>1</v>
      </c>
      <c r="J36" s="44">
        <v>10</v>
      </c>
      <c r="K36" s="54">
        <v>10</v>
      </c>
      <c r="L36" s="23">
        <v>5</v>
      </c>
      <c r="M36" s="64">
        <v>53</v>
      </c>
      <c r="N36" s="23">
        <v>16</v>
      </c>
      <c r="O36" s="41">
        <v>1010</v>
      </c>
      <c r="P36" s="39" t="s">
        <v>139</v>
      </c>
      <c r="Q36" s="39" t="s">
        <v>139</v>
      </c>
      <c r="R36" s="39" t="s">
        <v>139</v>
      </c>
      <c r="S36" s="39" t="s">
        <v>139</v>
      </c>
      <c r="T36" s="39" t="s">
        <v>139</v>
      </c>
      <c r="U36" s="39" t="s">
        <v>139</v>
      </c>
      <c r="V36" s="39" t="s">
        <v>139</v>
      </c>
      <c r="W36" s="39" t="s">
        <v>139</v>
      </c>
      <c r="X36" s="39" t="s">
        <v>139</v>
      </c>
      <c r="Z36" s="40" t="str">
        <f t="shared" si="0"/>
        <v>EXECUTE [dbo].[PG_CI_UNIDAD_OPERATIVA] 0, 0, 34, 'MEXICALI', 'MEXICALI', 'MXCLI', 340, 1, 10, 10, 5, 53, 16, 1010, '', '', '', '', '', '', '', '', ''</v>
      </c>
      <c r="AK36" s="25" t="s">
        <v>42</v>
      </c>
    </row>
    <row r="37" spans="2:37" ht="14.4" hidden="1" x14ac:dyDescent="0.3">
      <c r="B37" s="23">
        <v>0</v>
      </c>
      <c r="C37" s="23">
        <v>0</v>
      </c>
      <c r="D37" s="24">
        <v>35</v>
      </c>
      <c r="E37" s="25" t="s">
        <v>43</v>
      </c>
      <c r="F37" s="25" t="s">
        <v>43</v>
      </c>
      <c r="G37" s="42" t="s">
        <v>173</v>
      </c>
      <c r="H37" s="23">
        <f t="shared" si="1"/>
        <v>350</v>
      </c>
      <c r="I37" s="23">
        <v>1</v>
      </c>
      <c r="J37" s="44">
        <v>10</v>
      </c>
      <c r="K37" s="54">
        <v>10</v>
      </c>
      <c r="L37" s="23">
        <v>6</v>
      </c>
      <c r="M37" s="64">
        <v>33</v>
      </c>
      <c r="N37" s="23">
        <v>16</v>
      </c>
      <c r="O37" s="41">
        <v>1010</v>
      </c>
      <c r="P37" s="39" t="s">
        <v>139</v>
      </c>
      <c r="Q37" s="39" t="s">
        <v>139</v>
      </c>
      <c r="R37" s="39" t="s">
        <v>139</v>
      </c>
      <c r="S37" s="39" t="s">
        <v>139</v>
      </c>
      <c r="T37" s="39" t="s">
        <v>139</v>
      </c>
      <c r="U37" s="39" t="s">
        <v>139</v>
      </c>
      <c r="V37" s="39" t="s">
        <v>139</v>
      </c>
      <c r="W37" s="39" t="s">
        <v>139</v>
      </c>
      <c r="X37" s="39" t="s">
        <v>139</v>
      </c>
      <c r="Z37" s="40" t="str">
        <f t="shared" si="0"/>
        <v>EXECUTE [dbo].[PG_CI_UNIDAD_OPERATIVA] 0, 0, 35, 'ENSENADA', 'ENSENADA', 'ENSND', 350, 1, 10, 10, 6, 33, 16, 1010, '', '', '', '', '', '', '', '', ''</v>
      </c>
      <c r="AK37" s="25" t="s">
        <v>43</v>
      </c>
    </row>
    <row r="38" spans="2:37" ht="14.4" hidden="1" x14ac:dyDescent="0.3">
      <c r="B38" s="23">
        <v>0</v>
      </c>
      <c r="C38" s="23">
        <v>0</v>
      </c>
      <c r="D38" s="24">
        <v>36</v>
      </c>
      <c r="E38" s="25" t="s">
        <v>44</v>
      </c>
      <c r="F38" s="25" t="s">
        <v>44</v>
      </c>
      <c r="G38" s="42" t="s">
        <v>174</v>
      </c>
      <c r="H38" s="23">
        <f t="shared" si="1"/>
        <v>360</v>
      </c>
      <c r="I38" s="23">
        <v>1</v>
      </c>
      <c r="J38" s="44">
        <v>10</v>
      </c>
      <c r="K38" s="54">
        <v>50</v>
      </c>
      <c r="L38" s="23">
        <v>7</v>
      </c>
      <c r="M38" s="64">
        <v>43</v>
      </c>
      <c r="N38" s="23">
        <v>36</v>
      </c>
      <c r="O38" s="41">
        <v>1022</v>
      </c>
      <c r="P38" s="39" t="s">
        <v>139</v>
      </c>
      <c r="Q38" s="39" t="s">
        <v>139</v>
      </c>
      <c r="R38" s="39" t="s">
        <v>139</v>
      </c>
      <c r="S38" s="39" t="s">
        <v>139</v>
      </c>
      <c r="T38" s="39" t="s">
        <v>139</v>
      </c>
      <c r="U38" s="39" t="s">
        <v>139</v>
      </c>
      <c r="V38" s="39" t="s">
        <v>139</v>
      </c>
      <c r="W38" s="39" t="s">
        <v>139</v>
      </c>
      <c r="X38" s="39" t="s">
        <v>139</v>
      </c>
      <c r="Z38" s="40" t="str">
        <f t="shared" si="0"/>
        <v>EXECUTE [dbo].[PG_CI_UNIDAD_OPERATIVA] 0, 0, 36, 'HERMOSILLO', 'HERMOSILLO', 'HILLO', 360, 1, 10, 50, 7, 43, 36, 1022, '', '', '', '', '', '', '', '', ''</v>
      </c>
      <c r="AK38" s="25" t="s">
        <v>44</v>
      </c>
    </row>
    <row r="39" spans="2:37" ht="14.4" hidden="1" x14ac:dyDescent="0.3">
      <c r="B39" s="23">
        <v>0</v>
      </c>
      <c r="C39" s="23">
        <v>0</v>
      </c>
      <c r="D39" s="24">
        <v>37</v>
      </c>
      <c r="E39" s="25" t="s">
        <v>45</v>
      </c>
      <c r="F39" s="25" t="s">
        <v>45</v>
      </c>
      <c r="G39" s="42" t="s">
        <v>176</v>
      </c>
      <c r="H39" s="23">
        <f t="shared" si="1"/>
        <v>370</v>
      </c>
      <c r="I39" s="23">
        <v>1</v>
      </c>
      <c r="J39" s="44">
        <v>10</v>
      </c>
      <c r="K39" s="54">
        <v>50</v>
      </c>
      <c r="L39" s="23">
        <v>8</v>
      </c>
      <c r="M39" s="64">
        <v>82</v>
      </c>
      <c r="N39" s="23">
        <v>36</v>
      </c>
      <c r="O39" s="41">
        <v>1022</v>
      </c>
      <c r="P39" s="39" t="s">
        <v>139</v>
      </c>
      <c r="Q39" s="39" t="s">
        <v>139</v>
      </c>
      <c r="R39" s="39" t="s">
        <v>139</v>
      </c>
      <c r="S39" s="39" t="s">
        <v>139</v>
      </c>
      <c r="T39" s="39" t="s">
        <v>139</v>
      </c>
      <c r="U39" s="39" t="s">
        <v>139</v>
      </c>
      <c r="V39" s="39" t="s">
        <v>139</v>
      </c>
      <c r="W39" s="39" t="s">
        <v>139</v>
      </c>
      <c r="X39" s="39" t="s">
        <v>139</v>
      </c>
      <c r="Z39" s="40" t="str">
        <f t="shared" si="0"/>
        <v>EXECUTE [dbo].[PG_CI_UNIDAD_OPERATIVA] 0, 0, 37, 'URES', 'URES', 'URES_', 370, 1, 10, 50, 8, 82, 36, 1022, '', '', '', '', '', '', '', '', ''</v>
      </c>
      <c r="AK39" s="25" t="s">
        <v>45</v>
      </c>
    </row>
    <row r="40" spans="2:37" ht="14.4" hidden="1" x14ac:dyDescent="0.3">
      <c r="B40" s="23">
        <v>0</v>
      </c>
      <c r="C40" s="23">
        <v>0</v>
      </c>
      <c r="D40" s="24">
        <v>38</v>
      </c>
      <c r="E40" s="25" t="s">
        <v>46</v>
      </c>
      <c r="F40" s="25" t="s">
        <v>46</v>
      </c>
      <c r="G40" s="42" t="s">
        <v>175</v>
      </c>
      <c r="H40" s="23">
        <f t="shared" si="1"/>
        <v>380</v>
      </c>
      <c r="I40" s="23">
        <v>1</v>
      </c>
      <c r="J40" s="44">
        <v>10</v>
      </c>
      <c r="K40" s="54">
        <v>50</v>
      </c>
      <c r="L40" s="23">
        <v>9</v>
      </c>
      <c r="M40" s="64">
        <v>15</v>
      </c>
      <c r="N40" s="23">
        <v>36</v>
      </c>
      <c r="O40" s="41">
        <v>1021</v>
      </c>
      <c r="P40" s="39" t="s">
        <v>139</v>
      </c>
      <c r="Q40" s="39" t="s">
        <v>139</v>
      </c>
      <c r="R40" s="39" t="s">
        <v>139</v>
      </c>
      <c r="S40" s="39" t="s">
        <v>139</v>
      </c>
      <c r="T40" s="39" t="s">
        <v>139</v>
      </c>
      <c r="U40" s="39" t="s">
        <v>139</v>
      </c>
      <c r="V40" s="39" t="s">
        <v>139</v>
      </c>
      <c r="W40" s="39" t="s">
        <v>139</v>
      </c>
      <c r="X40" s="39" t="s">
        <v>139</v>
      </c>
      <c r="Z40" s="40" t="str">
        <f t="shared" si="0"/>
        <v>EXECUTE [dbo].[PG_CI_UNIDAD_OPERATIVA] 0, 0, 38, 'AGUAPRIETA', 'AGUAPRIETA', 'AGPRT', 380, 1, 10, 50, 9, 15, 36, 1021, '', '', '', '', '', '', '', '', ''</v>
      </c>
      <c r="AK40" s="25" t="s">
        <v>46</v>
      </c>
    </row>
    <row r="41" spans="2:37" ht="14.4" hidden="1" x14ac:dyDescent="0.3">
      <c r="B41" s="23">
        <v>0</v>
      </c>
      <c r="C41" s="23">
        <v>0</v>
      </c>
      <c r="D41" s="24">
        <v>39</v>
      </c>
      <c r="E41" s="25" t="s">
        <v>47</v>
      </c>
      <c r="F41" s="25" t="s">
        <v>47</v>
      </c>
      <c r="G41" s="42" t="s">
        <v>177</v>
      </c>
      <c r="H41" s="23">
        <f t="shared" si="1"/>
        <v>390</v>
      </c>
      <c r="I41" s="23">
        <v>1</v>
      </c>
      <c r="J41" s="44">
        <v>10</v>
      </c>
      <c r="K41" s="54">
        <v>50</v>
      </c>
      <c r="L41" s="23">
        <v>10</v>
      </c>
      <c r="M41" s="64">
        <v>24</v>
      </c>
      <c r="N41" s="23">
        <v>36</v>
      </c>
      <c r="O41" s="41">
        <v>1021</v>
      </c>
      <c r="P41" s="39" t="s">
        <v>139</v>
      </c>
      <c r="Q41" s="39" t="s">
        <v>139</v>
      </c>
      <c r="R41" s="39" t="s">
        <v>139</v>
      </c>
      <c r="S41" s="39" t="s">
        <v>139</v>
      </c>
      <c r="T41" s="39" t="s">
        <v>139</v>
      </c>
      <c r="U41" s="39" t="s">
        <v>139</v>
      </c>
      <c r="V41" s="39" t="s">
        <v>139</v>
      </c>
      <c r="W41" s="39" t="s">
        <v>139</v>
      </c>
      <c r="X41" s="39" t="s">
        <v>139</v>
      </c>
      <c r="Z41" s="40" t="str">
        <f t="shared" si="0"/>
        <v>EXECUTE [dbo].[PG_CI_UNIDAD_OPERATIVA] 0, 0, 39, 'CANANEA', 'CANANEA', 'CANNE', 390, 1, 10, 50, 10, 24, 36, 1021, '', '', '', '', '', '', '', '', ''</v>
      </c>
      <c r="AK41" s="25" t="s">
        <v>47</v>
      </c>
    </row>
    <row r="42" spans="2:37" ht="14.4" hidden="1" x14ac:dyDescent="0.3">
      <c r="B42" s="23">
        <v>0</v>
      </c>
      <c r="C42" s="23">
        <v>0</v>
      </c>
      <c r="D42" s="24">
        <v>40</v>
      </c>
      <c r="E42" s="25" t="s">
        <v>48</v>
      </c>
      <c r="F42" s="25" t="s">
        <v>48</v>
      </c>
      <c r="G42" s="42" t="s">
        <v>180</v>
      </c>
      <c r="H42" s="23">
        <f t="shared" si="1"/>
        <v>400</v>
      </c>
      <c r="I42" s="23">
        <v>1</v>
      </c>
      <c r="J42" s="44">
        <v>10</v>
      </c>
      <c r="K42" s="54">
        <v>50</v>
      </c>
      <c r="L42" s="23">
        <v>11</v>
      </c>
      <c r="M42" s="64">
        <v>57</v>
      </c>
      <c r="N42" s="23">
        <v>36</v>
      </c>
      <c r="O42" s="41">
        <v>1021</v>
      </c>
      <c r="P42" s="39" t="s">
        <v>139</v>
      </c>
      <c r="Q42" s="39" t="s">
        <v>139</v>
      </c>
      <c r="R42" s="39" t="s">
        <v>139</v>
      </c>
      <c r="S42" s="39" t="s">
        <v>139</v>
      </c>
      <c r="T42" s="39" t="s">
        <v>139</v>
      </c>
      <c r="U42" s="39" t="s">
        <v>139</v>
      </c>
      <c r="V42" s="39" t="s">
        <v>139</v>
      </c>
      <c r="W42" s="39" t="s">
        <v>139</v>
      </c>
      <c r="X42" s="39" t="s">
        <v>139</v>
      </c>
      <c r="Z42" s="40" t="str">
        <f t="shared" si="0"/>
        <v>EXECUTE [dbo].[PG_CI_UNIDAD_OPERATIVA] 0, 0, 40, 'NACO', 'NACO', 'NACO_', 400, 1, 10, 50, 11, 57, 36, 1021, '', '', '', '', '', '', '', '', ''</v>
      </c>
      <c r="AK42" s="25" t="s">
        <v>48</v>
      </c>
    </row>
    <row r="43" spans="2:37" ht="14.4" hidden="1" x14ac:dyDescent="0.3">
      <c r="B43" s="23">
        <v>0</v>
      </c>
      <c r="C43" s="23">
        <v>0</v>
      </c>
      <c r="D43" s="24">
        <v>41</v>
      </c>
      <c r="E43" s="25" t="s">
        <v>49</v>
      </c>
      <c r="F43" s="25" t="s">
        <v>49</v>
      </c>
      <c r="G43" s="42" t="s">
        <v>178</v>
      </c>
      <c r="H43" s="23">
        <f t="shared" si="1"/>
        <v>410</v>
      </c>
      <c r="I43" s="23">
        <v>1</v>
      </c>
      <c r="J43" s="44">
        <v>10</v>
      </c>
      <c r="K43" s="54">
        <v>50</v>
      </c>
      <c r="L43" s="23">
        <v>12</v>
      </c>
      <c r="M43" s="64">
        <v>58</v>
      </c>
      <c r="N43" s="23">
        <v>36</v>
      </c>
      <c r="O43" s="41">
        <v>1021</v>
      </c>
      <c r="P43" s="39" t="s">
        <v>139</v>
      </c>
      <c r="Q43" s="39" t="s">
        <v>139</v>
      </c>
      <c r="R43" s="39" t="s">
        <v>139</v>
      </c>
      <c r="S43" s="39" t="s">
        <v>139</v>
      </c>
      <c r="T43" s="39" t="s">
        <v>139</v>
      </c>
      <c r="U43" s="39" t="s">
        <v>139</v>
      </c>
      <c r="V43" s="39" t="s">
        <v>139</v>
      </c>
      <c r="W43" s="39" t="s">
        <v>139</v>
      </c>
      <c r="X43" s="39" t="s">
        <v>139</v>
      </c>
      <c r="Z43" s="40" t="str">
        <f t="shared" si="0"/>
        <v>EXECUTE [dbo].[PG_CI_UNIDAD_OPERATIVA] 0, 0, 41, 'NACOZARI', 'NACOZARI', 'NACZA', 410, 1, 10, 50, 12, 58, 36, 1021, '', '', '', '', '', '', '', '', ''</v>
      </c>
      <c r="AK43" s="25" t="s">
        <v>49</v>
      </c>
    </row>
    <row r="44" spans="2:37" ht="14.4" hidden="1" x14ac:dyDescent="0.3">
      <c r="B44" s="23">
        <v>0</v>
      </c>
      <c r="C44" s="23">
        <v>0</v>
      </c>
      <c r="D44" s="24">
        <v>42</v>
      </c>
      <c r="E44" s="25" t="s">
        <v>50</v>
      </c>
      <c r="F44" s="25" t="s">
        <v>50</v>
      </c>
      <c r="G44" s="42" t="s">
        <v>179</v>
      </c>
      <c r="H44" s="23">
        <f t="shared" si="1"/>
        <v>420</v>
      </c>
      <c r="I44" s="23">
        <v>1</v>
      </c>
      <c r="J44" s="44">
        <v>10</v>
      </c>
      <c r="K44" s="54">
        <v>50</v>
      </c>
      <c r="L44" s="23">
        <v>13</v>
      </c>
      <c r="M44" s="64">
        <v>60</v>
      </c>
      <c r="N44" s="23">
        <v>36</v>
      </c>
      <c r="O44" s="41">
        <v>1021</v>
      </c>
      <c r="P44" s="39" t="s">
        <v>139</v>
      </c>
      <c r="Q44" s="39" t="s">
        <v>139</v>
      </c>
      <c r="R44" s="39" t="s">
        <v>139</v>
      </c>
      <c r="S44" s="39" t="s">
        <v>139</v>
      </c>
      <c r="T44" s="39" t="s">
        <v>139</v>
      </c>
      <c r="U44" s="39" t="s">
        <v>139</v>
      </c>
      <c r="V44" s="39" t="s">
        <v>139</v>
      </c>
      <c r="W44" s="39" t="s">
        <v>139</v>
      </c>
      <c r="X44" s="39" t="s">
        <v>139</v>
      </c>
      <c r="Z44" s="40" t="str">
        <f t="shared" si="0"/>
        <v>EXECUTE [dbo].[PG_CI_UNIDAD_OPERATIVA] 0, 0, 42, 'NOGALES', 'NOGALES', 'NOGLS', 420, 1, 10, 50, 13, 60, 36, 1021, '', '', '', '', '', '', '', '', ''</v>
      </c>
      <c r="AK44" s="25" t="s">
        <v>50</v>
      </c>
    </row>
    <row r="45" spans="2:37" ht="14.4" hidden="1" x14ac:dyDescent="0.3">
      <c r="B45" s="23">
        <v>0</v>
      </c>
      <c r="C45" s="23">
        <v>0</v>
      </c>
      <c r="D45" s="24">
        <v>43</v>
      </c>
      <c r="E45" s="25" t="s">
        <v>51</v>
      </c>
      <c r="F45" s="25" t="s">
        <v>51</v>
      </c>
      <c r="G45" s="42" t="s">
        <v>181</v>
      </c>
      <c r="H45" s="23">
        <f t="shared" si="1"/>
        <v>430</v>
      </c>
      <c r="I45" s="23">
        <v>1</v>
      </c>
      <c r="J45" s="44">
        <v>10</v>
      </c>
      <c r="K45" s="54">
        <v>50</v>
      </c>
      <c r="L45" s="23">
        <v>14</v>
      </c>
      <c r="M45" s="64">
        <v>75</v>
      </c>
      <c r="N45" s="23">
        <v>36</v>
      </c>
      <c r="O45" s="41">
        <v>1022</v>
      </c>
      <c r="P45" s="39" t="s">
        <v>139</v>
      </c>
      <c r="Q45" s="39" t="s">
        <v>139</v>
      </c>
      <c r="R45" s="39" t="s">
        <v>139</v>
      </c>
      <c r="S45" s="39" t="s">
        <v>139</v>
      </c>
      <c r="T45" s="39" t="s">
        <v>139</v>
      </c>
      <c r="U45" s="39" t="s">
        <v>139</v>
      </c>
      <c r="V45" s="39" t="s">
        <v>139</v>
      </c>
      <c r="W45" s="39" t="s">
        <v>139</v>
      </c>
      <c r="X45" s="39" t="s">
        <v>139</v>
      </c>
      <c r="Z45" s="40" t="str">
        <f t="shared" si="0"/>
        <v>EXECUTE [dbo].[PG_CI_UNIDAD_OPERATIVA] 0, 0, 43, 'SANTA ANA', 'SANTA ANA', 'STANA', 430, 1, 10, 50, 14, 75, 36, 1022, '', '', '', '', '', '', '', '', ''</v>
      </c>
      <c r="AK45" s="25" t="s">
        <v>51</v>
      </c>
    </row>
    <row r="46" spans="2:37" ht="14.4" hidden="1" x14ac:dyDescent="0.3">
      <c r="B46" s="23">
        <v>0</v>
      </c>
      <c r="C46" s="23">
        <v>0</v>
      </c>
      <c r="D46" s="24">
        <v>44</v>
      </c>
      <c r="E46" s="25" t="s">
        <v>52</v>
      </c>
      <c r="F46" s="25" t="s">
        <v>52</v>
      </c>
      <c r="G46" s="42" t="s">
        <v>183</v>
      </c>
      <c r="H46" s="23">
        <f t="shared" si="1"/>
        <v>440</v>
      </c>
      <c r="I46" s="23">
        <v>1</v>
      </c>
      <c r="J46" s="44">
        <v>10</v>
      </c>
      <c r="K46" s="54">
        <v>50</v>
      </c>
      <c r="L46" s="23">
        <v>15</v>
      </c>
      <c r="M46" s="64">
        <v>21</v>
      </c>
      <c r="N46" s="23">
        <v>36</v>
      </c>
      <c r="O46" s="41">
        <v>1021</v>
      </c>
      <c r="P46" s="39" t="s">
        <v>139</v>
      </c>
      <c r="Q46" s="39" t="s">
        <v>139</v>
      </c>
      <c r="R46" s="39" t="s">
        <v>139</v>
      </c>
      <c r="S46" s="39" t="s">
        <v>139</v>
      </c>
      <c r="T46" s="39" t="s">
        <v>139</v>
      </c>
      <c r="U46" s="39" t="s">
        <v>139</v>
      </c>
      <c r="V46" s="39" t="s">
        <v>139</v>
      </c>
      <c r="W46" s="39" t="s">
        <v>139</v>
      </c>
      <c r="X46" s="39" t="s">
        <v>139</v>
      </c>
      <c r="Z46" s="40" t="str">
        <f t="shared" si="0"/>
        <v>EXECUTE [dbo].[PG_CI_UNIDAD_OPERATIVA] 0, 0, 44, 'CABORCA', 'CABORCA', 'CBRCA', 440, 1, 10, 50, 15, 21, 36, 1021, '', '', '', '', '', '', '', '', ''</v>
      </c>
      <c r="AK46" s="25" t="s">
        <v>52</v>
      </c>
    </row>
    <row r="47" spans="2:37" ht="14.4" hidden="1" x14ac:dyDescent="0.3">
      <c r="B47" s="23">
        <v>0</v>
      </c>
      <c r="C47" s="23">
        <v>0</v>
      </c>
      <c r="D47" s="24">
        <v>45</v>
      </c>
      <c r="E47" s="25" t="s">
        <v>53</v>
      </c>
      <c r="F47" s="25" t="s">
        <v>53</v>
      </c>
      <c r="G47" s="42" t="s">
        <v>182</v>
      </c>
      <c r="H47" s="23">
        <f t="shared" si="1"/>
        <v>450</v>
      </c>
      <c r="I47" s="23">
        <v>1</v>
      </c>
      <c r="J47" s="44">
        <v>10</v>
      </c>
      <c r="K47" s="54">
        <v>50</v>
      </c>
      <c r="L47" s="23">
        <v>16</v>
      </c>
      <c r="M47" s="64">
        <v>70</v>
      </c>
      <c r="N47" s="23">
        <v>36</v>
      </c>
      <c r="O47" s="41">
        <v>1021</v>
      </c>
      <c r="P47" s="39" t="s">
        <v>139</v>
      </c>
      <c r="Q47" s="39" t="s">
        <v>139</v>
      </c>
      <c r="R47" s="39" t="s">
        <v>139</v>
      </c>
      <c r="S47" s="39" t="s">
        <v>139</v>
      </c>
      <c r="T47" s="39" t="s">
        <v>139</v>
      </c>
      <c r="U47" s="39" t="s">
        <v>139</v>
      </c>
      <c r="V47" s="39" t="s">
        <v>139</v>
      </c>
      <c r="W47" s="39" t="s">
        <v>139</v>
      </c>
      <c r="X47" s="39" t="s">
        <v>139</v>
      </c>
      <c r="Z47" s="40" t="str">
        <f t="shared" si="0"/>
        <v>EXECUTE [dbo].[PG_CI_UNIDAD_OPERATIVA] 0, 0, 45, 'PUERTO PEÑASCO', 'PUERTO PEÑASCO', 'PEÑSC', 450, 1, 10, 50, 16, 70, 36, 1021, '', '', '', '', '', '', '', '', ''</v>
      </c>
      <c r="AK47" s="25" t="s">
        <v>53</v>
      </c>
    </row>
    <row r="48" spans="2:37" ht="14.4" hidden="1" x14ac:dyDescent="0.3">
      <c r="B48" s="23">
        <v>0</v>
      </c>
      <c r="C48" s="23">
        <v>0</v>
      </c>
      <c r="D48" s="24">
        <v>46</v>
      </c>
      <c r="E48" s="25" t="s">
        <v>54</v>
      </c>
      <c r="F48" s="25" t="s">
        <v>54</v>
      </c>
      <c r="G48" s="42" t="s">
        <v>184</v>
      </c>
      <c r="H48" s="23">
        <f t="shared" si="1"/>
        <v>460</v>
      </c>
      <c r="I48" s="23">
        <v>1</v>
      </c>
      <c r="J48" s="44">
        <v>10</v>
      </c>
      <c r="K48" s="54">
        <v>50</v>
      </c>
      <c r="L48" s="23">
        <v>17</v>
      </c>
      <c r="M48" s="64">
        <v>42</v>
      </c>
      <c r="N48" s="23">
        <v>36</v>
      </c>
      <c r="O48" s="41">
        <v>1023</v>
      </c>
      <c r="P48" s="39" t="s">
        <v>139</v>
      </c>
      <c r="Q48" s="39" t="s">
        <v>139</v>
      </c>
      <c r="R48" s="39" t="s">
        <v>139</v>
      </c>
      <c r="S48" s="39" t="s">
        <v>139</v>
      </c>
      <c r="T48" s="39" t="s">
        <v>139</v>
      </c>
      <c r="U48" s="39" t="s">
        <v>139</v>
      </c>
      <c r="V48" s="39" t="s">
        <v>139</v>
      </c>
      <c r="W48" s="39" t="s">
        <v>139</v>
      </c>
      <c r="X48" s="39" t="s">
        <v>139</v>
      </c>
      <c r="Z48" s="40" t="str">
        <f t="shared" si="0"/>
        <v>EXECUTE [dbo].[PG_CI_UNIDAD_OPERATIVA] 0, 0, 46, 'GUAYMAS', 'GUAYMAS', 'GUAYM', 460, 1, 10, 50, 17, 42, 36, 1023, '', '', '', '', '', '', '', '', ''</v>
      </c>
      <c r="AK48" s="25" t="s">
        <v>54</v>
      </c>
    </row>
    <row r="49" spans="2:37" ht="14.4" hidden="1" x14ac:dyDescent="0.3">
      <c r="B49" s="23">
        <v>0</v>
      </c>
      <c r="C49" s="23">
        <v>0</v>
      </c>
      <c r="D49" s="24">
        <v>47</v>
      </c>
      <c r="E49" s="25" t="s">
        <v>55</v>
      </c>
      <c r="F49" s="25" t="s">
        <v>55</v>
      </c>
      <c r="G49" s="42" t="s">
        <v>185</v>
      </c>
      <c r="H49" s="23">
        <f t="shared" si="1"/>
        <v>470</v>
      </c>
      <c r="I49" s="23">
        <v>1</v>
      </c>
      <c r="J49" s="44">
        <v>10</v>
      </c>
      <c r="K49" s="54">
        <v>50</v>
      </c>
      <c r="L49" s="23">
        <v>18</v>
      </c>
      <c r="M49" s="64">
        <v>61</v>
      </c>
      <c r="N49" s="23">
        <v>36</v>
      </c>
      <c r="O49" s="41">
        <v>1023</v>
      </c>
      <c r="P49" s="39" t="s">
        <v>139</v>
      </c>
      <c r="Q49" s="39" t="s">
        <v>139</v>
      </c>
      <c r="R49" s="39" t="s">
        <v>139</v>
      </c>
      <c r="S49" s="39" t="s">
        <v>139</v>
      </c>
      <c r="T49" s="39" t="s">
        <v>139</v>
      </c>
      <c r="U49" s="39" t="s">
        <v>139</v>
      </c>
      <c r="V49" s="39" t="s">
        <v>139</v>
      </c>
      <c r="W49" s="39" t="s">
        <v>139</v>
      </c>
      <c r="X49" s="39" t="s">
        <v>139</v>
      </c>
      <c r="Z49" s="40" t="str">
        <f t="shared" si="0"/>
        <v>EXECUTE [dbo].[PG_CI_UNIDAD_OPERATIVA] 0, 0, 47, 'OBREGON', 'OBREGON', 'OBRGN', 470, 1, 10, 50, 18, 61, 36, 1023, '', '', '', '', '', '', '', '', ''</v>
      </c>
      <c r="AK49" s="25" t="s">
        <v>55</v>
      </c>
    </row>
    <row r="50" spans="2:37" ht="14.4" hidden="1" x14ac:dyDescent="0.3">
      <c r="B50" s="23">
        <v>0</v>
      </c>
      <c r="C50" s="23">
        <v>0</v>
      </c>
      <c r="D50" s="24">
        <v>48</v>
      </c>
      <c r="E50" s="25" t="s">
        <v>56</v>
      </c>
      <c r="F50" s="25" t="s">
        <v>56</v>
      </c>
      <c r="G50" s="42" t="s">
        <v>186</v>
      </c>
      <c r="H50" s="23">
        <f t="shared" si="1"/>
        <v>480</v>
      </c>
      <c r="I50" s="23">
        <v>1</v>
      </c>
      <c r="J50" s="44">
        <v>10</v>
      </c>
      <c r="K50" s="54">
        <v>50</v>
      </c>
      <c r="L50" s="23">
        <v>19</v>
      </c>
      <c r="M50" s="64">
        <v>59</v>
      </c>
      <c r="N50" s="23">
        <v>36</v>
      </c>
      <c r="O50" s="41">
        <v>1023</v>
      </c>
      <c r="P50" s="39" t="s">
        <v>139</v>
      </c>
      <c r="Q50" s="39" t="s">
        <v>139</v>
      </c>
      <c r="R50" s="39" t="s">
        <v>139</v>
      </c>
      <c r="S50" s="39" t="s">
        <v>139</v>
      </c>
      <c r="T50" s="39" t="s">
        <v>139</v>
      </c>
      <c r="U50" s="39" t="s">
        <v>139</v>
      </c>
      <c r="V50" s="39" t="s">
        <v>139</v>
      </c>
      <c r="W50" s="39" t="s">
        <v>139</v>
      </c>
      <c r="X50" s="39" t="s">
        <v>139</v>
      </c>
      <c r="Z50" s="40" t="str">
        <f t="shared" si="0"/>
        <v>EXECUTE [dbo].[PG_CI_UNIDAD_OPERATIVA] 0, 0, 48, 'NAVOJOA', 'NAVOJOA', 'NAVOJ', 480, 1, 10, 50, 19, 59, 36, 1023, '', '', '', '', '', '', '', '', ''</v>
      </c>
      <c r="AK50" s="25" t="s">
        <v>56</v>
      </c>
    </row>
    <row r="51" spans="2:37" ht="14.4" hidden="1" x14ac:dyDescent="0.3">
      <c r="B51" s="23">
        <v>0</v>
      </c>
      <c r="C51" s="23">
        <v>0</v>
      </c>
      <c r="D51" s="24">
        <v>49</v>
      </c>
      <c r="E51" s="25" t="s">
        <v>57</v>
      </c>
      <c r="F51" s="25" t="s">
        <v>57</v>
      </c>
      <c r="G51" s="42" t="s">
        <v>187</v>
      </c>
      <c r="H51" s="23">
        <f t="shared" si="1"/>
        <v>490</v>
      </c>
      <c r="I51" s="23">
        <v>1</v>
      </c>
      <c r="J51" s="44">
        <v>10</v>
      </c>
      <c r="K51" s="54">
        <v>50</v>
      </c>
      <c r="L51" s="23">
        <v>20</v>
      </c>
      <c r="M51" s="64">
        <v>73</v>
      </c>
      <c r="N51" s="23">
        <v>36</v>
      </c>
      <c r="O51" s="41">
        <v>1021</v>
      </c>
      <c r="P51" s="39" t="s">
        <v>139</v>
      </c>
      <c r="Q51" s="39" t="s">
        <v>139</v>
      </c>
      <c r="R51" s="39" t="s">
        <v>139</v>
      </c>
      <c r="S51" s="39" t="s">
        <v>139</v>
      </c>
      <c r="T51" s="39" t="s">
        <v>139</v>
      </c>
      <c r="U51" s="39" t="s">
        <v>139</v>
      </c>
      <c r="V51" s="39" t="s">
        <v>139</v>
      </c>
      <c r="W51" s="39" t="s">
        <v>139</v>
      </c>
      <c r="X51" s="39" t="s">
        <v>139</v>
      </c>
      <c r="Z51" s="40" t="str">
        <f t="shared" si="0"/>
        <v>EXECUTE [dbo].[PG_CI_UNIDAD_OPERATIVA] 0, 0, 49, 'SAN LUIS RIO COLORADO', 'SAN LUIS RIO COLORADO', 'SNLRC', 490, 1, 10, 50, 20, 73, 36, 1021, '', '', '', '', '', '', '', '', ''</v>
      </c>
      <c r="AK51" s="25" t="s">
        <v>57</v>
      </c>
    </row>
    <row r="52" spans="2:37" ht="14.4" hidden="1" x14ac:dyDescent="0.3">
      <c r="B52" s="23">
        <v>0</v>
      </c>
      <c r="C52" s="23">
        <v>0</v>
      </c>
      <c r="D52" s="24">
        <v>50</v>
      </c>
      <c r="E52" s="25" t="s">
        <v>58</v>
      </c>
      <c r="F52" s="25" t="s">
        <v>58</v>
      </c>
      <c r="G52" s="42" t="s">
        <v>188</v>
      </c>
      <c r="H52" s="23">
        <f t="shared" si="1"/>
        <v>500</v>
      </c>
      <c r="I52" s="23">
        <v>1</v>
      </c>
      <c r="J52" s="44">
        <v>10</v>
      </c>
      <c r="K52" s="54">
        <v>50</v>
      </c>
      <c r="L52" s="23">
        <v>21</v>
      </c>
      <c r="M52" s="64">
        <v>35</v>
      </c>
      <c r="N52" s="23">
        <v>36</v>
      </c>
      <c r="O52" s="41">
        <v>1023</v>
      </c>
      <c r="P52" s="39" t="s">
        <v>139</v>
      </c>
      <c r="Q52" s="39" t="s">
        <v>139</v>
      </c>
      <c r="R52" s="39" t="s">
        <v>139</v>
      </c>
      <c r="S52" s="39" t="s">
        <v>139</v>
      </c>
      <c r="T52" s="39" t="s">
        <v>139</v>
      </c>
      <c r="U52" s="39" t="s">
        <v>139</v>
      </c>
      <c r="V52" s="39" t="s">
        <v>139</v>
      </c>
      <c r="W52" s="39" t="s">
        <v>139</v>
      </c>
      <c r="X52" s="39" t="s">
        <v>139</v>
      </c>
      <c r="Z52" s="40" t="str">
        <f t="shared" si="0"/>
        <v>EXECUTE [dbo].[PG_CI_UNIDAD_OPERATIVA] 0, 0, 50, 'FUNDICION', 'FUNDICION', 'FNDCN', 500, 1, 10, 50, 21, 35, 36, 1023, '', '', '', '', '', '', '', '', ''</v>
      </c>
      <c r="AK52" s="25" t="s">
        <v>58</v>
      </c>
    </row>
    <row r="53" spans="2:37" ht="14.4" hidden="1" x14ac:dyDescent="0.3">
      <c r="B53" s="23">
        <v>0</v>
      </c>
      <c r="C53" s="23">
        <v>0</v>
      </c>
      <c r="D53" s="24">
        <v>51</v>
      </c>
      <c r="E53" s="25" t="s">
        <v>59</v>
      </c>
      <c r="F53" s="25" t="s">
        <v>59</v>
      </c>
      <c r="G53" s="42" t="s">
        <v>189</v>
      </c>
      <c r="H53" s="23">
        <f t="shared" si="1"/>
        <v>510</v>
      </c>
      <c r="I53" s="23">
        <v>1</v>
      </c>
      <c r="J53" s="44">
        <v>10</v>
      </c>
      <c r="K53" s="54">
        <v>40</v>
      </c>
      <c r="L53" s="23">
        <v>40</v>
      </c>
      <c r="M53" s="64">
        <v>47</v>
      </c>
      <c r="N53" s="23">
        <v>10</v>
      </c>
      <c r="O53" s="41">
        <v>1042</v>
      </c>
      <c r="P53" s="39" t="s">
        <v>139</v>
      </c>
      <c r="Q53" s="39" t="s">
        <v>139</v>
      </c>
      <c r="R53" s="39" t="s">
        <v>139</v>
      </c>
      <c r="S53" s="39" t="s">
        <v>139</v>
      </c>
      <c r="T53" s="39" t="s">
        <v>139</v>
      </c>
      <c r="U53" s="39" t="s">
        <v>139</v>
      </c>
      <c r="V53" s="39" t="s">
        <v>139</v>
      </c>
      <c r="W53" s="39" t="s">
        <v>139</v>
      </c>
      <c r="X53" s="39" t="s">
        <v>139</v>
      </c>
      <c r="Z53" s="40" t="str">
        <f t="shared" si="0"/>
        <v>EXECUTE [dbo].[PG_CI_UNIDAD_OPERATIVA] 0, 0, 51, 'LA LAJA', 'LA LAJA', 'LALJA', 510, 1, 10, 40, 40, 47, 10, 1042, '', '', '', '', '', '', '', '', ''</v>
      </c>
      <c r="AK53" s="25" t="s">
        <v>59</v>
      </c>
    </row>
    <row r="54" spans="2:37" ht="14.4" hidden="1" x14ac:dyDescent="0.3">
      <c r="B54" s="23">
        <v>0</v>
      </c>
      <c r="C54" s="23">
        <v>0</v>
      </c>
      <c r="D54" s="24">
        <v>52</v>
      </c>
      <c r="E54" s="25" t="s">
        <v>60</v>
      </c>
      <c r="F54" s="25" t="s">
        <v>60</v>
      </c>
      <c r="G54" s="42" t="s">
        <v>190</v>
      </c>
      <c r="H54" s="23">
        <f t="shared" si="1"/>
        <v>520</v>
      </c>
      <c r="I54" s="23">
        <v>1</v>
      </c>
      <c r="J54" s="44">
        <v>10</v>
      </c>
      <c r="K54" s="54">
        <v>40</v>
      </c>
      <c r="L54" s="23">
        <v>42</v>
      </c>
      <c r="M54" s="64">
        <v>81</v>
      </c>
      <c r="N54" s="23">
        <v>10</v>
      </c>
      <c r="O54" s="41">
        <v>1042</v>
      </c>
      <c r="P54" s="39" t="s">
        <v>139</v>
      </c>
      <c r="Q54" s="39" t="s">
        <v>139</v>
      </c>
      <c r="R54" s="39" t="s">
        <v>139</v>
      </c>
      <c r="S54" s="39" t="s">
        <v>139</v>
      </c>
      <c r="T54" s="39" t="s">
        <v>139</v>
      </c>
      <c r="U54" s="39" t="s">
        <v>139</v>
      </c>
      <c r="V54" s="39" t="s">
        <v>139</v>
      </c>
      <c r="W54" s="39" t="s">
        <v>139</v>
      </c>
      <c r="X54" s="39" t="s">
        <v>139</v>
      </c>
      <c r="Z54" s="40" t="str">
        <f t="shared" si="0"/>
        <v>EXECUTE [dbo].[PG_CI_UNIDAD_OPERATIVA] 0, 0, 52, 'TLAJOMULCO', 'TLAJOMULCO', 'TLAJO', 520, 1, 10, 40, 42, 81, 10, 1042, '', '', '', '', '', '', '', '', ''</v>
      </c>
      <c r="AK54" s="25" t="s">
        <v>60</v>
      </c>
    </row>
    <row r="55" spans="2:37" ht="14.4" hidden="1" x14ac:dyDescent="0.3">
      <c r="B55" s="23">
        <v>0</v>
      </c>
      <c r="C55" s="23">
        <v>0</v>
      </c>
      <c r="D55" s="24">
        <v>53</v>
      </c>
      <c r="E55" s="25" t="s">
        <v>61</v>
      </c>
      <c r="F55" s="25" t="s">
        <v>61</v>
      </c>
      <c r="G55" s="42" t="s">
        <v>191</v>
      </c>
      <c r="H55" s="23">
        <f t="shared" si="1"/>
        <v>530</v>
      </c>
      <c r="I55" s="23">
        <v>1</v>
      </c>
      <c r="J55" s="44">
        <v>10</v>
      </c>
      <c r="K55" s="54">
        <v>40</v>
      </c>
      <c r="L55" s="23">
        <v>43</v>
      </c>
      <c r="M55" s="64">
        <v>76</v>
      </c>
      <c r="N55" s="23">
        <v>10</v>
      </c>
      <c r="O55" s="41">
        <v>1041</v>
      </c>
      <c r="P55" s="39" t="s">
        <v>139</v>
      </c>
      <c r="Q55" s="39" t="s">
        <v>139</v>
      </c>
      <c r="R55" s="39" t="s">
        <v>139</v>
      </c>
      <c r="S55" s="39" t="s">
        <v>139</v>
      </c>
      <c r="T55" s="39" t="s">
        <v>139</v>
      </c>
      <c r="U55" s="39" t="s">
        <v>139</v>
      </c>
      <c r="V55" s="39" t="s">
        <v>139</v>
      </c>
      <c r="W55" s="39" t="s">
        <v>139</v>
      </c>
      <c r="X55" s="39" t="s">
        <v>139</v>
      </c>
      <c r="Z55" s="40" t="str">
        <f t="shared" si="0"/>
        <v>EXECUTE [dbo].[PG_CI_UNIDAD_OPERATIVA] 0, 0, 53, 'TEPATITLAN', 'TEPATITLAN', 'TEPAT', 530, 1, 10, 40, 43, 76, 10, 1041, '', '', '', '', '', '', '', '', ''</v>
      </c>
      <c r="AK55" s="25" t="s">
        <v>61</v>
      </c>
    </row>
    <row r="56" spans="2:37" ht="14.4" hidden="1" x14ac:dyDescent="0.3">
      <c r="B56" s="23">
        <v>0</v>
      </c>
      <c r="C56" s="23">
        <v>0</v>
      </c>
      <c r="D56" s="24">
        <v>54</v>
      </c>
      <c r="E56" s="25" t="s">
        <v>62</v>
      </c>
      <c r="F56" s="25" t="s">
        <v>62</v>
      </c>
      <c r="G56" s="42" t="s">
        <v>192</v>
      </c>
      <c r="H56" s="23">
        <f t="shared" si="1"/>
        <v>540</v>
      </c>
      <c r="I56" s="23">
        <v>1</v>
      </c>
      <c r="J56" s="44">
        <v>10</v>
      </c>
      <c r="K56" s="54">
        <v>40</v>
      </c>
      <c r="L56" s="23">
        <v>44</v>
      </c>
      <c r="M56" s="64">
        <v>62</v>
      </c>
      <c r="N56" s="23">
        <v>10</v>
      </c>
      <c r="O56" s="41">
        <v>1042</v>
      </c>
      <c r="P56" s="39" t="s">
        <v>139</v>
      </c>
      <c r="Q56" s="39" t="s">
        <v>139</v>
      </c>
      <c r="R56" s="39" t="s">
        <v>139</v>
      </c>
      <c r="S56" s="39" t="s">
        <v>139</v>
      </c>
      <c r="T56" s="39" t="s">
        <v>139</v>
      </c>
      <c r="U56" s="39" t="s">
        <v>139</v>
      </c>
      <c r="V56" s="39" t="s">
        <v>139</v>
      </c>
      <c r="W56" s="39" t="s">
        <v>139</v>
      </c>
      <c r="X56" s="39" t="s">
        <v>139</v>
      </c>
      <c r="Z56" s="40" t="str">
        <f t="shared" si="0"/>
        <v>EXECUTE [dbo].[PG_CI_UNIDAD_OPERATIVA] 0, 0, 54, 'OCOTLAN', 'OCOTLAN', 'OCOTL', 540, 1, 10, 40, 44, 62, 10, 1042, '', '', '', '', '', '', '', '', ''</v>
      </c>
      <c r="AK56" s="25" t="s">
        <v>62</v>
      </c>
    </row>
    <row r="57" spans="2:37" ht="14.4" hidden="1" x14ac:dyDescent="0.3">
      <c r="B57" s="23">
        <v>0</v>
      </c>
      <c r="C57" s="23">
        <v>0</v>
      </c>
      <c r="D57" s="24">
        <v>55</v>
      </c>
      <c r="E57" s="25" t="s">
        <v>63</v>
      </c>
      <c r="F57" s="25" t="s">
        <v>63</v>
      </c>
      <c r="G57" s="42" t="s">
        <v>193</v>
      </c>
      <c r="H57" s="23">
        <f t="shared" si="1"/>
        <v>550</v>
      </c>
      <c r="I57" s="23">
        <v>1</v>
      </c>
      <c r="J57" s="44">
        <v>10</v>
      </c>
      <c r="K57" s="54">
        <v>40</v>
      </c>
      <c r="L57" s="23">
        <v>45</v>
      </c>
      <c r="M57" s="64">
        <v>84</v>
      </c>
      <c r="N57" s="23">
        <v>10</v>
      </c>
      <c r="O57" s="41">
        <v>1041</v>
      </c>
      <c r="P57" s="39" t="s">
        <v>139</v>
      </c>
      <c r="Q57" s="39" t="s">
        <v>139</v>
      </c>
      <c r="R57" s="39" t="s">
        <v>139</v>
      </c>
      <c r="S57" s="39" t="s">
        <v>139</v>
      </c>
      <c r="T57" s="39" t="s">
        <v>139</v>
      </c>
      <c r="U57" s="39" t="s">
        <v>139</v>
      </c>
      <c r="V57" s="39" t="s">
        <v>139</v>
      </c>
      <c r="W57" s="39" t="s">
        <v>139</v>
      </c>
      <c r="X57" s="39" t="s">
        <v>139</v>
      </c>
      <c r="Z57" s="40" t="str">
        <f t="shared" si="0"/>
        <v>EXECUTE [dbo].[PG_CI_UNIDAD_OPERATIVA] 0, 0, 55, 'YAHUALICA', 'YAHUALICA', 'YAHUA', 550, 1, 10, 40, 45, 84, 10, 1041, '', '', '', '', '', '', '', '', ''</v>
      </c>
      <c r="AK57" s="25" t="s">
        <v>63</v>
      </c>
    </row>
    <row r="58" spans="2:37" ht="14.4" hidden="1" x14ac:dyDescent="0.3">
      <c r="B58" s="23">
        <v>0</v>
      </c>
      <c r="C58" s="23">
        <v>0</v>
      </c>
      <c r="D58" s="24">
        <v>56</v>
      </c>
      <c r="E58" s="25" t="s">
        <v>64</v>
      </c>
      <c r="F58" s="25" t="s">
        <v>64</v>
      </c>
      <c r="G58" s="42" t="s">
        <v>194</v>
      </c>
      <c r="H58" s="23">
        <f t="shared" si="1"/>
        <v>560</v>
      </c>
      <c r="I58" s="23">
        <v>1</v>
      </c>
      <c r="J58" s="44">
        <v>10</v>
      </c>
      <c r="K58" s="54">
        <v>40</v>
      </c>
      <c r="L58" s="23">
        <v>46</v>
      </c>
      <c r="M58" s="64">
        <v>27</v>
      </c>
      <c r="N58" s="23">
        <v>49</v>
      </c>
      <c r="O58" s="41">
        <v>1043</v>
      </c>
      <c r="P58" s="39" t="s">
        <v>139</v>
      </c>
      <c r="Q58" s="39" t="s">
        <v>139</v>
      </c>
      <c r="R58" s="39" t="s">
        <v>139</v>
      </c>
      <c r="S58" s="39" t="s">
        <v>139</v>
      </c>
      <c r="T58" s="39" t="s">
        <v>139</v>
      </c>
      <c r="U58" s="39" t="s">
        <v>139</v>
      </c>
      <c r="V58" s="39" t="s">
        <v>139</v>
      </c>
      <c r="W58" s="39" t="s">
        <v>139</v>
      </c>
      <c r="X58" s="39" t="s">
        <v>139</v>
      </c>
      <c r="Z58" s="40" t="str">
        <f t="shared" si="0"/>
        <v>EXECUTE [dbo].[PG_CI_UNIDAD_OPERATIVA] 0, 0, 56, 'CD. GUZMAN', 'CD. GUZMAN', 'CDGZM', 560, 1, 10, 40, 46, 27, 49, 1043, '', '', '', '', '', '', '', '', ''</v>
      </c>
      <c r="AK58" s="25" t="s">
        <v>64</v>
      </c>
    </row>
    <row r="59" spans="2:37" ht="14.4" hidden="1" x14ac:dyDescent="0.3">
      <c r="B59" s="23">
        <v>0</v>
      </c>
      <c r="C59" s="23">
        <v>0</v>
      </c>
      <c r="D59" s="24">
        <v>57</v>
      </c>
      <c r="E59" s="25" t="s">
        <v>65</v>
      </c>
      <c r="F59" s="25" t="s">
        <v>65</v>
      </c>
      <c r="G59" s="42" t="s">
        <v>195</v>
      </c>
      <c r="H59" s="23">
        <f t="shared" si="1"/>
        <v>570</v>
      </c>
      <c r="I59" s="23">
        <v>1</v>
      </c>
      <c r="J59" s="44">
        <v>10</v>
      </c>
      <c r="K59" s="54">
        <v>40</v>
      </c>
      <c r="L59" s="23">
        <v>47</v>
      </c>
      <c r="M59" s="64">
        <v>18</v>
      </c>
      <c r="N59" s="23">
        <v>49</v>
      </c>
      <c r="O59" s="41">
        <v>1043</v>
      </c>
      <c r="P59" s="39" t="s">
        <v>139</v>
      </c>
      <c r="Q59" s="39" t="s">
        <v>139</v>
      </c>
      <c r="R59" s="39" t="s">
        <v>139</v>
      </c>
      <c r="S59" s="39" t="s">
        <v>139</v>
      </c>
      <c r="T59" s="39" t="s">
        <v>139</v>
      </c>
      <c r="U59" s="39" t="s">
        <v>139</v>
      </c>
      <c r="V59" s="39" t="s">
        <v>139</v>
      </c>
      <c r="W59" s="39" t="s">
        <v>139</v>
      </c>
      <c r="X59" s="39" t="s">
        <v>139</v>
      </c>
      <c r="Z59" s="40" t="str">
        <f t="shared" si="0"/>
        <v>EXECUTE [dbo].[PG_CI_UNIDAD_OPERATIVA] 0, 0, 57, 'AUTLAN', 'AUTLAN', 'AUTLN', 570, 1, 10, 40, 47, 18, 49, 1043, '', '', '', '', '', '', '', '', ''</v>
      </c>
      <c r="AK59" s="25" t="s">
        <v>65</v>
      </c>
    </row>
    <row r="60" spans="2:37" ht="14.4" hidden="1" x14ac:dyDescent="0.3">
      <c r="B60" s="23">
        <v>0</v>
      </c>
      <c r="C60" s="23">
        <v>0</v>
      </c>
      <c r="D60" s="24">
        <v>58</v>
      </c>
      <c r="E60" s="25" t="s">
        <v>66</v>
      </c>
      <c r="F60" s="25" t="s">
        <v>66</v>
      </c>
      <c r="G60" s="42" t="s">
        <v>196</v>
      </c>
      <c r="H60" s="23">
        <f t="shared" si="1"/>
        <v>580</v>
      </c>
      <c r="I60" s="23">
        <v>1</v>
      </c>
      <c r="J60" s="44">
        <v>10</v>
      </c>
      <c r="K60" s="54">
        <v>20</v>
      </c>
      <c r="L60" s="23">
        <v>54</v>
      </c>
      <c r="M60" s="64">
        <v>36</v>
      </c>
      <c r="N60" s="23">
        <v>15</v>
      </c>
      <c r="O60" s="41">
        <v>1070</v>
      </c>
      <c r="P60" s="39" t="s">
        <v>139</v>
      </c>
      <c r="Q60" s="39" t="s">
        <v>139</v>
      </c>
      <c r="R60" s="39" t="s">
        <v>139</v>
      </c>
      <c r="S60" s="39" t="s">
        <v>139</v>
      </c>
      <c r="T60" s="39" t="s">
        <v>139</v>
      </c>
      <c r="U60" s="39" t="s">
        <v>139</v>
      </c>
      <c r="V60" s="39" t="s">
        <v>139</v>
      </c>
      <c r="W60" s="39" t="s">
        <v>139</v>
      </c>
      <c r="X60" s="39" t="s">
        <v>139</v>
      </c>
      <c r="Z60" s="40" t="str">
        <f t="shared" si="0"/>
        <v>EXECUTE [dbo].[PG_CI_UNIDAD_OPERATIVA] 0, 0, 58, 'GAS PRONTO', 'GAS PRONTO', 'GSPTO', 580, 1, 10, 20, 54, 36, 15, 1070, '', '', '', '', '', '', '', '', ''</v>
      </c>
      <c r="AK60" s="25" t="s">
        <v>66</v>
      </c>
    </row>
    <row r="61" spans="2:37" ht="14.4" hidden="1" x14ac:dyDescent="0.3">
      <c r="B61" s="23">
        <v>0</v>
      </c>
      <c r="C61" s="23">
        <v>0</v>
      </c>
      <c r="D61" s="24">
        <v>59</v>
      </c>
      <c r="E61" s="25" t="s">
        <v>67</v>
      </c>
      <c r="F61" s="25" t="s">
        <v>67</v>
      </c>
      <c r="G61" s="42" t="s">
        <v>108</v>
      </c>
      <c r="H61" s="23">
        <f t="shared" si="1"/>
        <v>590</v>
      </c>
      <c r="I61" s="23">
        <v>1</v>
      </c>
      <c r="J61" s="44">
        <v>10</v>
      </c>
      <c r="K61" s="54">
        <v>60</v>
      </c>
      <c r="L61" s="23">
        <v>61</v>
      </c>
      <c r="M61" s="64">
        <v>25</v>
      </c>
      <c r="N61" s="23">
        <v>47</v>
      </c>
      <c r="O61" s="41">
        <v>1090</v>
      </c>
      <c r="P61" s="39" t="s">
        <v>139</v>
      </c>
      <c r="Q61" s="39" t="s">
        <v>139</v>
      </c>
      <c r="R61" s="39" t="s">
        <v>139</v>
      </c>
      <c r="S61" s="39" t="s">
        <v>139</v>
      </c>
      <c r="T61" s="39" t="s">
        <v>139</v>
      </c>
      <c r="U61" s="39" t="s">
        <v>139</v>
      </c>
      <c r="V61" s="39" t="s">
        <v>139</v>
      </c>
      <c r="W61" s="39" t="s">
        <v>139</v>
      </c>
      <c r="X61" s="39" t="s">
        <v>139</v>
      </c>
      <c r="Z61" s="40" t="str">
        <f t="shared" si="0"/>
        <v>EXECUTE [dbo].[PG_CI_UNIDAD_OPERATIVA] 0, 0, 59, 'CANCUN', 'CANCUN', 'CNCUN', 590, 1, 10, 60, 61, 25, 47, 1090, '', '', '', '', '', '', '', '', ''</v>
      </c>
      <c r="AK61" s="25" t="s">
        <v>67</v>
      </c>
    </row>
    <row r="62" spans="2:37" ht="14.4" hidden="1" x14ac:dyDescent="0.3">
      <c r="B62" s="23">
        <v>0</v>
      </c>
      <c r="C62" s="23">
        <v>0</v>
      </c>
      <c r="D62" s="24">
        <v>60</v>
      </c>
      <c r="E62" s="25" t="s">
        <v>68</v>
      </c>
      <c r="F62" s="25" t="s">
        <v>68</v>
      </c>
      <c r="G62" s="42" t="s">
        <v>110</v>
      </c>
      <c r="H62" s="23">
        <f t="shared" si="1"/>
        <v>600</v>
      </c>
      <c r="I62" s="23">
        <v>1</v>
      </c>
      <c r="J62" s="44">
        <v>10</v>
      </c>
      <c r="K62" s="54">
        <v>60</v>
      </c>
      <c r="L62" s="23">
        <v>62</v>
      </c>
      <c r="M62" s="64">
        <v>29</v>
      </c>
      <c r="N62" s="23">
        <v>47</v>
      </c>
      <c r="O62" s="41">
        <v>1090</v>
      </c>
      <c r="P62" s="39" t="s">
        <v>139</v>
      </c>
      <c r="Q62" s="39" t="s">
        <v>139</v>
      </c>
      <c r="R62" s="39" t="s">
        <v>139</v>
      </c>
      <c r="S62" s="39" t="s">
        <v>139</v>
      </c>
      <c r="T62" s="39" t="s">
        <v>139</v>
      </c>
      <c r="U62" s="39" t="s">
        <v>139</v>
      </c>
      <c r="V62" s="39" t="s">
        <v>139</v>
      </c>
      <c r="W62" s="39" t="s">
        <v>139</v>
      </c>
      <c r="X62" s="39" t="s">
        <v>139</v>
      </c>
      <c r="Z62" s="40" t="str">
        <f t="shared" si="0"/>
        <v>EXECUTE [dbo].[PG_CI_UNIDAD_OPERATIVA] 0, 0, 60, 'COZUMEL', 'COZUMEL', 'CZMEL', 600, 1, 10, 60, 62, 29, 47, 1090, '', '', '', '', '', '', '', '', ''</v>
      </c>
      <c r="AK62" s="25" t="s">
        <v>68</v>
      </c>
    </row>
    <row r="63" spans="2:37" ht="14.4" hidden="1" x14ac:dyDescent="0.3">
      <c r="B63" s="23">
        <v>0</v>
      </c>
      <c r="C63" s="23">
        <v>0</v>
      </c>
      <c r="D63" s="24">
        <v>61</v>
      </c>
      <c r="E63" s="25" t="s">
        <v>69</v>
      </c>
      <c r="F63" s="25" t="s">
        <v>69</v>
      </c>
      <c r="G63" s="42" t="s">
        <v>109</v>
      </c>
      <c r="H63" s="23">
        <f t="shared" si="1"/>
        <v>610</v>
      </c>
      <c r="I63" s="23">
        <v>1</v>
      </c>
      <c r="J63" s="44">
        <v>10</v>
      </c>
      <c r="K63" s="54">
        <v>60</v>
      </c>
      <c r="L63" s="23">
        <v>63</v>
      </c>
      <c r="M63" s="64">
        <v>28</v>
      </c>
      <c r="N63" s="23">
        <v>47</v>
      </c>
      <c r="O63" s="41">
        <v>1090</v>
      </c>
      <c r="P63" s="39" t="s">
        <v>139</v>
      </c>
      <c r="Q63" s="39" t="s">
        <v>139</v>
      </c>
      <c r="R63" s="39" t="s">
        <v>139</v>
      </c>
      <c r="S63" s="39" t="s">
        <v>139</v>
      </c>
      <c r="T63" s="39" t="s">
        <v>139</v>
      </c>
      <c r="U63" s="39" t="s">
        <v>139</v>
      </c>
      <c r="V63" s="39" t="s">
        <v>139</v>
      </c>
      <c r="W63" s="39" t="s">
        <v>139</v>
      </c>
      <c r="X63" s="39" t="s">
        <v>139</v>
      </c>
      <c r="Z63" s="40" t="str">
        <f t="shared" si="0"/>
        <v>EXECUTE [dbo].[PG_CI_UNIDAD_OPERATIVA] 0, 0, 61, 'CHETUMAL', 'CHETUMAL', 'CHTMA', 610, 1, 10, 60, 63, 28, 47, 1090, '', '', '', '', '', '', '', '', ''</v>
      </c>
      <c r="AK63" s="25" t="s">
        <v>69</v>
      </c>
    </row>
    <row r="64" spans="2:37" ht="14.4" hidden="1" x14ac:dyDescent="0.3">
      <c r="B64" s="23">
        <v>0</v>
      </c>
      <c r="C64" s="23">
        <v>0</v>
      </c>
      <c r="D64" s="24">
        <v>62</v>
      </c>
      <c r="E64" s="25" t="s">
        <v>70</v>
      </c>
      <c r="F64" s="25" t="s">
        <v>70</v>
      </c>
      <c r="G64" s="42" t="s">
        <v>197</v>
      </c>
      <c r="H64" s="23">
        <f t="shared" si="1"/>
        <v>620</v>
      </c>
      <c r="I64" s="23">
        <v>1</v>
      </c>
      <c r="J64" s="44">
        <v>10</v>
      </c>
      <c r="K64" s="54">
        <v>60</v>
      </c>
      <c r="L64" s="23">
        <v>64</v>
      </c>
      <c r="M64" s="64">
        <v>52</v>
      </c>
      <c r="N64" s="23">
        <v>45</v>
      </c>
      <c r="O64" s="41">
        <v>1080</v>
      </c>
      <c r="P64" s="39" t="s">
        <v>139</v>
      </c>
      <c r="Q64" s="39" t="s">
        <v>139</v>
      </c>
      <c r="R64" s="39" t="s">
        <v>139</v>
      </c>
      <c r="S64" s="39" t="s">
        <v>139</v>
      </c>
      <c r="T64" s="39" t="s">
        <v>139</v>
      </c>
      <c r="U64" s="39" t="s">
        <v>139</v>
      </c>
      <c r="V64" s="39" t="s">
        <v>139</v>
      </c>
      <c r="W64" s="39" t="s">
        <v>139</v>
      </c>
      <c r="X64" s="39" t="s">
        <v>139</v>
      </c>
      <c r="Z64" s="40" t="str">
        <f t="shared" si="0"/>
        <v>EXECUTE [dbo].[PG_CI_UNIDAD_OPERATIVA] 0, 0, 62, 'MERIDA', 'MERIDA', 'MERID', 620, 1, 10, 60, 64, 52, 45, 1080, '', '', '', '', '', '', '', '', ''</v>
      </c>
      <c r="AK64" s="25" t="s">
        <v>70</v>
      </c>
    </row>
    <row r="65" spans="2:37" ht="14.4" hidden="1" x14ac:dyDescent="0.3">
      <c r="B65" s="23">
        <v>0</v>
      </c>
      <c r="C65" s="23">
        <v>0</v>
      </c>
      <c r="D65" s="24">
        <v>63</v>
      </c>
      <c r="E65" s="25" t="s">
        <v>71</v>
      </c>
      <c r="F65" s="25" t="s">
        <v>71</v>
      </c>
      <c r="G65" s="42" t="s">
        <v>71</v>
      </c>
      <c r="H65" s="23">
        <f t="shared" si="1"/>
        <v>630</v>
      </c>
      <c r="I65" s="23">
        <v>1</v>
      </c>
      <c r="J65" s="44">
        <v>10</v>
      </c>
      <c r="K65" s="54">
        <v>60</v>
      </c>
      <c r="L65" s="23">
        <v>65</v>
      </c>
      <c r="M65" s="64">
        <v>79</v>
      </c>
      <c r="N65" s="23">
        <v>45</v>
      </c>
      <c r="O65" s="41">
        <v>1080</v>
      </c>
      <c r="P65" s="39" t="s">
        <v>139</v>
      </c>
      <c r="Q65" s="39" t="s">
        <v>139</v>
      </c>
      <c r="R65" s="39" t="s">
        <v>139</v>
      </c>
      <c r="S65" s="39" t="s">
        <v>139</v>
      </c>
      <c r="T65" s="39" t="s">
        <v>139</v>
      </c>
      <c r="U65" s="39" t="s">
        <v>139</v>
      </c>
      <c r="V65" s="39" t="s">
        <v>139</v>
      </c>
      <c r="W65" s="39" t="s">
        <v>139</v>
      </c>
      <c r="X65" s="39" t="s">
        <v>139</v>
      </c>
      <c r="Z65" s="40" t="str">
        <f t="shared" si="0"/>
        <v>EXECUTE [dbo].[PG_CI_UNIDAD_OPERATIVA] 0, 0, 63, 'TICUL', 'TICUL', 'TICUL', 630, 1, 10, 60, 65, 79, 45, 1080, '', '', '', '', '', '', '', '', ''</v>
      </c>
      <c r="AK65" s="25" t="s">
        <v>71</v>
      </c>
    </row>
    <row r="66" spans="2:37" ht="14.4" hidden="1" x14ac:dyDescent="0.3">
      <c r="B66" s="23">
        <v>0</v>
      </c>
      <c r="C66" s="23">
        <v>0</v>
      </c>
      <c r="D66" s="24">
        <v>64</v>
      </c>
      <c r="E66" s="25" t="s">
        <v>72</v>
      </c>
      <c r="F66" s="25" t="s">
        <v>72</v>
      </c>
      <c r="G66" s="42" t="s">
        <v>199</v>
      </c>
      <c r="H66" s="23">
        <f t="shared" si="1"/>
        <v>640</v>
      </c>
      <c r="I66" s="23">
        <v>1</v>
      </c>
      <c r="J66" s="44">
        <v>10</v>
      </c>
      <c r="K66" s="54">
        <v>60</v>
      </c>
      <c r="L66" s="23">
        <v>66</v>
      </c>
      <c r="M66" s="64">
        <v>23</v>
      </c>
      <c r="N66" s="23">
        <v>53</v>
      </c>
      <c r="O66" s="41">
        <v>1190</v>
      </c>
      <c r="P66" s="39" t="s">
        <v>139</v>
      </c>
      <c r="Q66" s="39" t="s">
        <v>139</v>
      </c>
      <c r="R66" s="39" t="s">
        <v>139</v>
      </c>
      <c r="S66" s="39" t="s">
        <v>139</v>
      </c>
      <c r="T66" s="39" t="s">
        <v>139</v>
      </c>
      <c r="U66" s="39" t="s">
        <v>139</v>
      </c>
      <c r="V66" s="39" t="s">
        <v>139</v>
      </c>
      <c r="W66" s="39" t="s">
        <v>139</v>
      </c>
      <c r="X66" s="39" t="s">
        <v>139</v>
      </c>
      <c r="Z66" s="40" t="str">
        <f t="shared" ref="Z66:Z129" si="2">CONCATENATE("EXECUTE [dbo].[PG_CI_UNIDAD_OPERATIVA]"," ",B66,", ",C66,", ",D66,", '",E66,"', '",F66,"', '",G66,"', ",H66,", ",I66,", ",J66,", ",K66,", ",L66,", ",M66,", ",N66,", ",O66,", ",P66,", ",Q66,", ",R66,", ",S66,", ",T66,", ",U66,", ",V66,", ",W66,", ",X66)</f>
        <v>EXECUTE [dbo].[PG_CI_UNIDAD_OPERATIVA] 0, 0, 64, 'CAMPECHE', 'CAMPECHE', 'CMPCH', 640, 1, 10, 60, 66, 23, 53, 1190, '', '', '', '', '', '', '', '', ''</v>
      </c>
      <c r="AK66" s="25" t="s">
        <v>72</v>
      </c>
    </row>
    <row r="67" spans="2:37" ht="14.4" hidden="1" x14ac:dyDescent="0.3">
      <c r="B67" s="23">
        <v>0</v>
      </c>
      <c r="C67" s="23">
        <v>0</v>
      </c>
      <c r="D67" s="24">
        <v>65</v>
      </c>
      <c r="E67" s="25" t="s">
        <v>73</v>
      </c>
      <c r="F67" s="25" t="s">
        <v>73</v>
      </c>
      <c r="G67" s="42" t="s">
        <v>198</v>
      </c>
      <c r="H67" s="23">
        <f t="shared" si="1"/>
        <v>650</v>
      </c>
      <c r="I67" s="23">
        <v>1</v>
      </c>
      <c r="J67" s="44">
        <v>10</v>
      </c>
      <c r="K67" s="54">
        <v>60</v>
      </c>
      <c r="L67" s="23">
        <v>67</v>
      </c>
      <c r="M67" s="64">
        <v>26</v>
      </c>
      <c r="N67" s="23">
        <v>53</v>
      </c>
      <c r="O67" s="41">
        <v>1190</v>
      </c>
      <c r="P67" s="39" t="s">
        <v>139</v>
      </c>
      <c r="Q67" s="39" t="s">
        <v>139</v>
      </c>
      <c r="R67" s="39" t="s">
        <v>139</v>
      </c>
      <c r="S67" s="39" t="s">
        <v>139</v>
      </c>
      <c r="T67" s="39" t="s">
        <v>139</v>
      </c>
      <c r="U67" s="39" t="s">
        <v>139</v>
      </c>
      <c r="V67" s="39" t="s">
        <v>139</v>
      </c>
      <c r="W67" s="39" t="s">
        <v>139</v>
      </c>
      <c r="X67" s="39" t="s">
        <v>139</v>
      </c>
      <c r="Z67" s="40" t="str">
        <f t="shared" si="2"/>
        <v>EXECUTE [dbo].[PG_CI_UNIDAD_OPERATIVA] 0, 0, 65, 'CD. DEL CARMEN', 'CD. DEL CARMEN', 'CDCAR', 650, 1, 10, 60, 67, 26, 53, 1190, '', '', '', '', '', '', '', '', ''</v>
      </c>
      <c r="AK67" s="25" t="s">
        <v>73</v>
      </c>
    </row>
    <row r="68" spans="2:37" ht="14.4" hidden="1" x14ac:dyDescent="0.3">
      <c r="B68" s="23">
        <v>0</v>
      </c>
      <c r="C68" s="23">
        <v>0</v>
      </c>
      <c r="D68" s="24">
        <v>66</v>
      </c>
      <c r="E68" s="25" t="s">
        <v>74</v>
      </c>
      <c r="F68" s="25" t="s">
        <v>74</v>
      </c>
      <c r="G68" s="42" t="s">
        <v>200</v>
      </c>
      <c r="H68" s="23">
        <f t="shared" ref="H68:H85" si="3">D68*10</f>
        <v>660</v>
      </c>
      <c r="I68" s="23">
        <v>1</v>
      </c>
      <c r="J68" s="44">
        <v>10</v>
      </c>
      <c r="K68" s="54">
        <v>60</v>
      </c>
      <c r="L68" s="23">
        <v>68</v>
      </c>
      <c r="M68" s="64">
        <v>54</v>
      </c>
      <c r="N68" s="23">
        <v>54</v>
      </c>
      <c r="O68" s="41">
        <v>1120</v>
      </c>
      <c r="P68" s="39" t="s">
        <v>139</v>
      </c>
      <c r="Q68" s="39" t="s">
        <v>139</v>
      </c>
      <c r="R68" s="39" t="s">
        <v>139</v>
      </c>
      <c r="S68" s="39" t="s">
        <v>139</v>
      </c>
      <c r="T68" s="39" t="s">
        <v>139</v>
      </c>
      <c r="U68" s="39" t="s">
        <v>139</v>
      </c>
      <c r="V68" s="39" t="s">
        <v>139</v>
      </c>
      <c r="W68" s="39" t="s">
        <v>139</v>
      </c>
      <c r="X68" s="39" t="s">
        <v>139</v>
      </c>
      <c r="Z68" s="40" t="str">
        <f t="shared" si="2"/>
        <v>EXECUTE [dbo].[PG_CI_UNIDAD_OPERATIVA] 0, 0, 66, 'MINATITLAN', 'MINATITLAN', 'MINAT', 660, 1, 10, 60, 68, 54, 54, 1120, '', '', '', '', '', '', '', '', ''</v>
      </c>
      <c r="AK68" s="25" t="s">
        <v>74</v>
      </c>
    </row>
    <row r="69" spans="2:37" ht="14.4" hidden="1" x14ac:dyDescent="0.3">
      <c r="B69" s="23">
        <v>0</v>
      </c>
      <c r="C69" s="23">
        <v>0</v>
      </c>
      <c r="D69" s="24">
        <v>67</v>
      </c>
      <c r="E69" s="25" t="s">
        <v>75</v>
      </c>
      <c r="F69" s="25" t="s">
        <v>75</v>
      </c>
      <c r="G69" s="42" t="s">
        <v>201</v>
      </c>
      <c r="H69" s="23">
        <f t="shared" si="3"/>
        <v>670</v>
      </c>
      <c r="I69" s="23">
        <v>1</v>
      </c>
      <c r="J69" s="44">
        <v>10</v>
      </c>
      <c r="K69" s="54">
        <v>60</v>
      </c>
      <c r="L69" s="23">
        <v>71</v>
      </c>
      <c r="M69" s="64">
        <v>68</v>
      </c>
      <c r="N69" s="23">
        <v>45</v>
      </c>
      <c r="O69" s="41">
        <v>1080</v>
      </c>
      <c r="P69" s="39" t="s">
        <v>139</v>
      </c>
      <c r="Q69" s="39" t="s">
        <v>139</v>
      </c>
      <c r="R69" s="39" t="s">
        <v>139</v>
      </c>
      <c r="S69" s="39" t="s">
        <v>139</v>
      </c>
      <c r="T69" s="39" t="s">
        <v>139</v>
      </c>
      <c r="U69" s="39" t="s">
        <v>139</v>
      </c>
      <c r="V69" s="39" t="s">
        <v>139</v>
      </c>
      <c r="W69" s="39" t="s">
        <v>139</v>
      </c>
      <c r="X69" s="39" t="s">
        <v>139</v>
      </c>
      <c r="Z69" s="40" t="str">
        <f t="shared" si="2"/>
        <v>EXECUTE [dbo].[PG_CI_UNIDAD_OPERATIVA] 0, 0, 67, 'PROGRESO', 'PROGRESO', 'PRGSO', 670, 1, 10, 60, 71, 68, 45, 1080, '', '', '', '', '', '', '', '', ''</v>
      </c>
      <c r="AK69" s="25" t="s">
        <v>75</v>
      </c>
    </row>
    <row r="70" spans="2:37" ht="14.4" hidden="1" x14ac:dyDescent="0.3">
      <c r="B70" s="23">
        <v>0</v>
      </c>
      <c r="C70" s="23">
        <v>0</v>
      </c>
      <c r="D70" s="24">
        <v>68</v>
      </c>
      <c r="E70" s="25" t="s">
        <v>76</v>
      </c>
      <c r="F70" s="25" t="s">
        <v>76</v>
      </c>
      <c r="G70" s="42" t="s">
        <v>202</v>
      </c>
      <c r="H70" s="23">
        <f t="shared" si="3"/>
        <v>680</v>
      </c>
      <c r="I70" s="23">
        <v>1</v>
      </c>
      <c r="J70" s="44">
        <v>10</v>
      </c>
      <c r="K70" s="54">
        <v>40</v>
      </c>
      <c r="L70" s="23">
        <v>72</v>
      </c>
      <c r="M70" s="64">
        <v>16</v>
      </c>
      <c r="N70" s="23">
        <v>10</v>
      </c>
      <c r="O70" s="41">
        <v>1130</v>
      </c>
      <c r="P70" s="39" t="s">
        <v>139</v>
      </c>
      <c r="Q70" s="39" t="s">
        <v>139</v>
      </c>
      <c r="R70" s="39" t="s">
        <v>139</v>
      </c>
      <c r="S70" s="39" t="s">
        <v>139</v>
      </c>
      <c r="T70" s="39" t="s">
        <v>139</v>
      </c>
      <c r="U70" s="39" t="s">
        <v>139</v>
      </c>
      <c r="V70" s="39" t="s">
        <v>139</v>
      </c>
      <c r="W70" s="39" t="s">
        <v>139</v>
      </c>
      <c r="X70" s="39" t="s">
        <v>139</v>
      </c>
      <c r="Z70" s="40" t="str">
        <f t="shared" si="2"/>
        <v>EXECUTE [dbo].[PG_CI_UNIDAD_OPERATIVA] 0, 0, 68, 'AGUASCALIENTES', 'AGUASCALIENTES', 'AGUAS', 680, 1, 10, 40, 72, 16, 10, 1130, '', '', '', '', '', '', '', '', ''</v>
      </c>
      <c r="AK70" s="25" t="s">
        <v>76</v>
      </c>
    </row>
    <row r="71" spans="2:37" ht="14.4" hidden="1" x14ac:dyDescent="0.3">
      <c r="B71" s="23">
        <v>0</v>
      </c>
      <c r="C71" s="23">
        <v>0</v>
      </c>
      <c r="D71" s="24">
        <v>69</v>
      </c>
      <c r="E71" s="25" t="s">
        <v>77</v>
      </c>
      <c r="F71" s="25" t="s">
        <v>77</v>
      </c>
      <c r="G71" s="42" t="s">
        <v>205</v>
      </c>
      <c r="H71" s="23">
        <f t="shared" si="3"/>
        <v>690</v>
      </c>
      <c r="I71" s="23">
        <v>1</v>
      </c>
      <c r="J71" s="44">
        <v>10</v>
      </c>
      <c r="K71" s="54">
        <v>10</v>
      </c>
      <c r="L71" s="23">
        <v>73</v>
      </c>
      <c r="M71" s="64">
        <v>74</v>
      </c>
      <c r="N71" s="23">
        <v>16</v>
      </c>
      <c r="O71" s="41">
        <v>1010</v>
      </c>
      <c r="P71" s="39" t="s">
        <v>139</v>
      </c>
      <c r="Q71" s="39" t="s">
        <v>139</v>
      </c>
      <c r="R71" s="39" t="s">
        <v>139</v>
      </c>
      <c r="S71" s="39" t="s">
        <v>139</v>
      </c>
      <c r="T71" s="39" t="s">
        <v>139</v>
      </c>
      <c r="U71" s="39" t="s">
        <v>139</v>
      </c>
      <c r="V71" s="39" t="s">
        <v>139</v>
      </c>
      <c r="W71" s="39" t="s">
        <v>139</v>
      </c>
      <c r="X71" s="39" t="s">
        <v>139</v>
      </c>
      <c r="Z71" s="40" t="str">
        <f t="shared" si="2"/>
        <v>EXECUTE [dbo].[PG_CI_UNIDAD_OPERATIVA] 0, 0, 69, 'SAN QUINTIN', 'SAN QUINTIN', 'SNQTN', 690, 1, 10, 10, 73, 74, 16, 1010, '', '', '', '', '', '', '', '', ''</v>
      </c>
      <c r="AK71" s="25" t="s">
        <v>77</v>
      </c>
    </row>
    <row r="72" spans="2:37" ht="14.4" hidden="1" x14ac:dyDescent="0.3">
      <c r="B72" s="23">
        <v>0</v>
      </c>
      <c r="C72" s="23">
        <v>0</v>
      </c>
      <c r="D72" s="24">
        <v>70</v>
      </c>
      <c r="E72" s="25" t="s">
        <v>78</v>
      </c>
      <c r="F72" s="25" t="s">
        <v>78</v>
      </c>
      <c r="G72" s="42" t="s">
        <v>203</v>
      </c>
      <c r="H72" s="23">
        <f t="shared" si="3"/>
        <v>700</v>
      </c>
      <c r="I72" s="23">
        <v>1</v>
      </c>
      <c r="J72" s="44">
        <v>10</v>
      </c>
      <c r="K72" s="54">
        <v>40</v>
      </c>
      <c r="L72" s="23">
        <v>74</v>
      </c>
      <c r="M72" s="64">
        <v>49</v>
      </c>
      <c r="N72" s="23">
        <v>65</v>
      </c>
      <c r="O72" s="41">
        <v>1042</v>
      </c>
      <c r="P72" s="39" t="s">
        <v>139</v>
      </c>
      <c r="Q72" s="39" t="s">
        <v>139</v>
      </c>
      <c r="R72" s="39" t="s">
        <v>139</v>
      </c>
      <c r="S72" s="39" t="s">
        <v>139</v>
      </c>
      <c r="T72" s="39" t="s">
        <v>139</v>
      </c>
      <c r="U72" s="39" t="s">
        <v>139</v>
      </c>
      <c r="V72" s="39" t="s">
        <v>139</v>
      </c>
      <c r="W72" s="39" t="s">
        <v>139</v>
      </c>
      <c r="X72" s="39" t="s">
        <v>139</v>
      </c>
      <c r="Z72" s="40" t="str">
        <f t="shared" si="2"/>
        <v>EXECUTE [dbo].[PG_CI_UNIDAD_OPERATIVA] 0, 0, 70, 'MAMEME GAS', 'MAMEME GAS', 'MAMEM', 700, 1, 10, 40, 74, 49, 65, 1042, '', '', '', '', '', '', '', '', ''</v>
      </c>
      <c r="AK72" s="25" t="s">
        <v>78</v>
      </c>
    </row>
    <row r="73" spans="2:37" ht="14.4" hidden="1" x14ac:dyDescent="0.3">
      <c r="B73" s="23">
        <v>0</v>
      </c>
      <c r="C73" s="23">
        <v>0</v>
      </c>
      <c r="D73" s="24">
        <v>71</v>
      </c>
      <c r="E73" s="25" t="s">
        <v>79</v>
      </c>
      <c r="F73" s="25" t="s">
        <v>79</v>
      </c>
      <c r="G73" s="42" t="s">
        <v>204</v>
      </c>
      <c r="H73" s="23">
        <f t="shared" si="3"/>
        <v>710</v>
      </c>
      <c r="I73" s="23">
        <v>1</v>
      </c>
      <c r="J73" s="44">
        <v>10</v>
      </c>
      <c r="K73" s="54">
        <v>60</v>
      </c>
      <c r="L73" s="23">
        <v>78</v>
      </c>
      <c r="M73" s="64">
        <v>67</v>
      </c>
      <c r="N73" s="23">
        <v>0</v>
      </c>
      <c r="O73" s="41">
        <v>1090</v>
      </c>
      <c r="P73" s="39" t="s">
        <v>139</v>
      </c>
      <c r="Q73" s="39" t="s">
        <v>139</v>
      </c>
      <c r="R73" s="39" t="s">
        <v>139</v>
      </c>
      <c r="S73" s="39" t="s">
        <v>139</v>
      </c>
      <c r="T73" s="39" t="s">
        <v>139</v>
      </c>
      <c r="U73" s="39" t="s">
        <v>139</v>
      </c>
      <c r="V73" s="39" t="s">
        <v>139</v>
      </c>
      <c r="W73" s="39" t="s">
        <v>139</v>
      </c>
      <c r="X73" s="39" t="s">
        <v>139</v>
      </c>
      <c r="Z73" s="40" t="str">
        <f t="shared" si="2"/>
        <v>EXECUTE [dbo].[PG_CI_UNIDAD_OPERATIVA] 0, 0, 71, 'PLAYA DEL CARMEN', 'PLAYA DEL CARMEN', 'PYACA', 710, 1, 10, 60, 78, 67, 0, 1090, '', '', '', '', '', '', '', '', ''</v>
      </c>
      <c r="AK73" s="25" t="s">
        <v>79</v>
      </c>
    </row>
    <row r="74" spans="2:37" ht="14.4" hidden="1" x14ac:dyDescent="0.3">
      <c r="B74" s="23">
        <v>0</v>
      </c>
      <c r="C74" s="23">
        <v>0</v>
      </c>
      <c r="D74" s="24">
        <v>72</v>
      </c>
      <c r="E74" s="25" t="s">
        <v>80</v>
      </c>
      <c r="F74" s="25" t="s">
        <v>80</v>
      </c>
      <c r="G74" s="42" t="s">
        <v>206</v>
      </c>
      <c r="H74" s="23">
        <f t="shared" si="3"/>
        <v>720</v>
      </c>
      <c r="I74" s="23">
        <v>1</v>
      </c>
      <c r="J74" s="44">
        <v>10</v>
      </c>
      <c r="K74" s="54">
        <v>0</v>
      </c>
      <c r="L74" s="23">
        <v>79</v>
      </c>
      <c r="M74" s="64">
        <v>44</v>
      </c>
      <c r="N74" s="23">
        <v>19</v>
      </c>
      <c r="O74" s="41">
        <v>1160</v>
      </c>
      <c r="P74" s="39" t="s">
        <v>139</v>
      </c>
      <c r="Q74" s="39" t="s">
        <v>139</v>
      </c>
      <c r="R74" s="39" t="s">
        <v>139</v>
      </c>
      <c r="S74" s="39" t="s">
        <v>139</v>
      </c>
      <c r="T74" s="39" t="s">
        <v>139</v>
      </c>
      <c r="U74" s="39" t="s">
        <v>139</v>
      </c>
      <c r="V74" s="39" t="s">
        <v>139</v>
      </c>
      <c r="W74" s="39" t="s">
        <v>139</v>
      </c>
      <c r="X74" s="39" t="s">
        <v>139</v>
      </c>
      <c r="Z74" s="40" t="str">
        <f t="shared" si="2"/>
        <v>EXECUTE [dbo].[PG_CI_UNIDAD_OPERATIVA] 0, 0, 72, 'HIDALGO', 'HIDALGO', 'HDLGO', 720, 1, 10, 0, 79, 44, 19, 1160, '', '', '', '', '', '', '', '', ''</v>
      </c>
      <c r="AK74" s="25" t="s">
        <v>80</v>
      </c>
    </row>
    <row r="75" spans="2:37" ht="14.4" hidden="1" x14ac:dyDescent="0.3">
      <c r="B75" s="23">
        <v>0</v>
      </c>
      <c r="C75" s="23">
        <v>0</v>
      </c>
      <c r="D75" s="24">
        <v>73</v>
      </c>
      <c r="E75" s="25" t="s">
        <v>81</v>
      </c>
      <c r="F75" s="25" t="s">
        <v>81</v>
      </c>
      <c r="G75" s="42" t="s">
        <v>207</v>
      </c>
      <c r="H75" s="23">
        <f t="shared" si="3"/>
        <v>730</v>
      </c>
      <c r="I75" s="23">
        <v>1</v>
      </c>
      <c r="J75" s="44">
        <v>10</v>
      </c>
      <c r="K75" s="54">
        <v>50</v>
      </c>
      <c r="L75" s="23">
        <v>84</v>
      </c>
      <c r="M75" s="64">
        <v>55</v>
      </c>
      <c r="N75" s="23">
        <v>90</v>
      </c>
      <c r="O75" s="41">
        <v>1100</v>
      </c>
      <c r="P75" s="39" t="s">
        <v>139</v>
      </c>
      <c r="Q75" s="39" t="s">
        <v>139</v>
      </c>
      <c r="R75" s="39" t="s">
        <v>139</v>
      </c>
      <c r="S75" s="39" t="s">
        <v>139</v>
      </c>
      <c r="T75" s="39" t="s">
        <v>139</v>
      </c>
      <c r="U75" s="39" t="s">
        <v>139</v>
      </c>
      <c r="V75" s="39" t="s">
        <v>139</v>
      </c>
      <c r="W75" s="39" t="s">
        <v>139</v>
      </c>
      <c r="X75" s="39" t="s">
        <v>139</v>
      </c>
      <c r="Z75" s="40" t="str">
        <f t="shared" si="2"/>
        <v>EXECUTE [dbo].[PG_CI_UNIDAD_OPERATIVA] 0, 0, 73, 'MOCHIS', 'MOCHIS', 'MOCHS', 730, 1, 10, 50, 84, 55, 90, 1100, '', '', '', '', '', '', '', '', ''</v>
      </c>
      <c r="AK75" s="25" t="s">
        <v>81</v>
      </c>
    </row>
    <row r="76" spans="2:37" ht="14.4" hidden="1" x14ac:dyDescent="0.3">
      <c r="B76" s="23">
        <v>0</v>
      </c>
      <c r="C76" s="23">
        <v>0</v>
      </c>
      <c r="D76" s="24">
        <v>74</v>
      </c>
      <c r="E76" s="25" t="s">
        <v>82</v>
      </c>
      <c r="F76" s="25" t="s">
        <v>82</v>
      </c>
      <c r="G76" s="41" t="s">
        <v>208</v>
      </c>
      <c r="H76" s="23">
        <f t="shared" si="3"/>
        <v>740</v>
      </c>
      <c r="I76" s="23">
        <v>1</v>
      </c>
      <c r="J76" s="44">
        <v>20</v>
      </c>
      <c r="K76" s="54">
        <v>30</v>
      </c>
      <c r="L76" s="23">
        <v>85</v>
      </c>
      <c r="M76" s="64">
        <v>77</v>
      </c>
      <c r="N76" s="23">
        <v>0</v>
      </c>
      <c r="O76" s="41">
        <v>1030</v>
      </c>
      <c r="P76" s="39" t="s">
        <v>139</v>
      </c>
      <c r="Q76" s="39" t="s">
        <v>139</v>
      </c>
      <c r="R76" s="39" t="s">
        <v>139</v>
      </c>
      <c r="S76" s="39" t="s">
        <v>139</v>
      </c>
      <c r="T76" s="39" t="s">
        <v>139</v>
      </c>
      <c r="U76" s="39" t="s">
        <v>139</v>
      </c>
      <c r="V76" s="39" t="s">
        <v>139</v>
      </c>
      <c r="W76" s="39" t="s">
        <v>139</v>
      </c>
      <c r="X76" s="39" t="s">
        <v>139</v>
      </c>
      <c r="Z76" s="40" t="str">
        <f t="shared" si="2"/>
        <v>EXECUTE [dbo].[PG_CI_UNIDAD_OPERATIVA] 0, 0, 74, 'TERMINAL JUAREZ', 'TERMINAL JUAREZ', 'JUARZ', 740, 1, 20, 30, 85, 77, 0, 1030, '', '', '', '', '', '', '', '', ''</v>
      </c>
      <c r="AK76" s="25" t="s">
        <v>82</v>
      </c>
    </row>
    <row r="77" spans="2:37" ht="14.4" hidden="1" x14ac:dyDescent="0.3">
      <c r="B77" s="23">
        <v>0</v>
      </c>
      <c r="C77" s="23">
        <v>0</v>
      </c>
      <c r="D77" s="24">
        <v>75</v>
      </c>
      <c r="E77" s="25" t="s">
        <v>83</v>
      </c>
      <c r="F77" s="25" t="s">
        <v>83</v>
      </c>
      <c r="G77" s="42" t="s">
        <v>140</v>
      </c>
      <c r="H77" s="23">
        <f t="shared" si="3"/>
        <v>750</v>
      </c>
      <c r="I77" s="23">
        <v>1</v>
      </c>
      <c r="J77" s="44">
        <v>10</v>
      </c>
      <c r="K77" s="54">
        <v>40</v>
      </c>
      <c r="L77" s="23">
        <v>89</v>
      </c>
      <c r="M77" s="64">
        <v>39</v>
      </c>
      <c r="N77" s="23">
        <v>0</v>
      </c>
      <c r="O77" s="41">
        <v>1042</v>
      </c>
      <c r="P77" s="39" t="s">
        <v>139</v>
      </c>
      <c r="Q77" s="39" t="s">
        <v>139</v>
      </c>
      <c r="R77" s="39" t="s">
        <v>139</v>
      </c>
      <c r="S77" s="39" t="s">
        <v>139</v>
      </c>
      <c r="T77" s="39" t="s">
        <v>139</v>
      </c>
      <c r="U77" s="39" t="s">
        <v>139</v>
      </c>
      <c r="V77" s="39" t="s">
        <v>139</v>
      </c>
      <c r="W77" s="39" t="s">
        <v>139</v>
      </c>
      <c r="X77" s="39" t="s">
        <v>139</v>
      </c>
      <c r="Z77" s="40" t="str">
        <f t="shared" si="2"/>
        <v>EXECUTE [dbo].[PG_CI_UNIDAD_OPERATIVA] 0, 0, 75, 'GUADALAJARA', 'GUADALAJARA', 'GUADA', 750, 1, 10, 40, 89, 39, 0, 1042, '', '', '', '', '', '', '', '', ''</v>
      </c>
      <c r="AK77" s="25" t="s">
        <v>83</v>
      </c>
    </row>
    <row r="78" spans="2:37" ht="14.4" hidden="1" x14ac:dyDescent="0.3">
      <c r="B78" s="23">
        <v>0</v>
      </c>
      <c r="C78" s="23">
        <v>0</v>
      </c>
      <c r="D78" s="24">
        <v>76</v>
      </c>
      <c r="E78" s="25" t="s">
        <v>84</v>
      </c>
      <c r="F78" s="25" t="s">
        <v>84</v>
      </c>
      <c r="G78" s="42" t="s">
        <v>209</v>
      </c>
      <c r="H78" s="23">
        <f t="shared" si="3"/>
        <v>760</v>
      </c>
      <c r="I78" s="23">
        <v>1</v>
      </c>
      <c r="J78" s="44">
        <v>10</v>
      </c>
      <c r="K78" s="54">
        <v>50</v>
      </c>
      <c r="L78" s="23">
        <v>90</v>
      </c>
      <c r="M78" s="64">
        <v>31</v>
      </c>
      <c r="N78" s="23">
        <v>90</v>
      </c>
      <c r="O78" s="41">
        <v>1100</v>
      </c>
      <c r="P78" s="39" t="s">
        <v>139</v>
      </c>
      <c r="Q78" s="39" t="s">
        <v>139</v>
      </c>
      <c r="R78" s="39" t="s">
        <v>139</v>
      </c>
      <c r="S78" s="39" t="s">
        <v>139</v>
      </c>
      <c r="T78" s="39" t="s">
        <v>139</v>
      </c>
      <c r="U78" s="39" t="s">
        <v>139</v>
      </c>
      <c r="V78" s="39" t="s">
        <v>139</v>
      </c>
      <c r="W78" s="39" t="s">
        <v>139</v>
      </c>
      <c r="X78" s="39" t="s">
        <v>139</v>
      </c>
      <c r="Z78" s="40" t="str">
        <f t="shared" si="2"/>
        <v>EXECUTE [dbo].[PG_CI_UNIDAD_OPERATIVA] 0, 0, 76, 'CULIACAN', 'CULIACAN', 'CULCN', 760, 1, 10, 50, 90, 31, 90, 1100, '', '', '', '', '', '', '', '', ''</v>
      </c>
      <c r="AK78" s="25" t="s">
        <v>84</v>
      </c>
    </row>
    <row r="79" spans="2:37" ht="14.4" hidden="1" x14ac:dyDescent="0.3">
      <c r="B79" s="23">
        <v>0</v>
      </c>
      <c r="C79" s="23">
        <v>0</v>
      </c>
      <c r="D79" s="24">
        <v>77</v>
      </c>
      <c r="E79" s="25" t="s">
        <v>85</v>
      </c>
      <c r="F79" s="25" t="s">
        <v>85</v>
      </c>
      <c r="G79" s="42" t="s">
        <v>210</v>
      </c>
      <c r="H79" s="23">
        <f t="shared" si="3"/>
        <v>770</v>
      </c>
      <c r="I79" s="23">
        <v>1</v>
      </c>
      <c r="J79" s="44">
        <v>10</v>
      </c>
      <c r="K79" s="54">
        <v>40</v>
      </c>
      <c r="L79" s="23">
        <v>92</v>
      </c>
      <c r="M79" s="64">
        <v>78</v>
      </c>
      <c r="N79" s="23">
        <v>0</v>
      </c>
      <c r="O79" s="41">
        <v>1042</v>
      </c>
      <c r="P79" s="39" t="s">
        <v>139</v>
      </c>
      <c r="Q79" s="39" t="s">
        <v>139</v>
      </c>
      <c r="R79" s="39" t="s">
        <v>139</v>
      </c>
      <c r="S79" s="39" t="s">
        <v>139</v>
      </c>
      <c r="T79" s="39" t="s">
        <v>139</v>
      </c>
      <c r="U79" s="39" t="s">
        <v>139</v>
      </c>
      <c r="V79" s="39" t="s">
        <v>139</v>
      </c>
      <c r="W79" s="39" t="s">
        <v>139</v>
      </c>
      <c r="X79" s="39" t="s">
        <v>139</v>
      </c>
      <c r="Z79" s="40" t="str">
        <f t="shared" si="2"/>
        <v>EXECUTE [dbo].[PG_CI_UNIDAD_OPERATIVA] 0, 0, 77, 'TESISTAN', 'TESISTAN', 'TESTN', 770, 1, 10, 40, 92, 78, 0, 1042, '', '', '', '', '', '', '', '', ''</v>
      </c>
      <c r="AK79" s="25" t="s">
        <v>85</v>
      </c>
    </row>
    <row r="80" spans="2:37" ht="14.4" hidden="1" x14ac:dyDescent="0.3">
      <c r="B80" s="23">
        <v>0</v>
      </c>
      <c r="C80" s="23">
        <v>0</v>
      </c>
      <c r="D80" s="24">
        <v>78</v>
      </c>
      <c r="E80" s="25" t="s">
        <v>86</v>
      </c>
      <c r="F80" s="25" t="s">
        <v>86</v>
      </c>
      <c r="G80" s="41" t="s">
        <v>211</v>
      </c>
      <c r="H80" s="23">
        <f t="shared" si="3"/>
        <v>780</v>
      </c>
      <c r="I80" s="23">
        <v>1</v>
      </c>
      <c r="J80" s="44">
        <v>0</v>
      </c>
      <c r="K80" s="54">
        <v>50</v>
      </c>
      <c r="L80" s="23">
        <v>93</v>
      </c>
      <c r="M80" s="64">
        <v>66</v>
      </c>
      <c r="N80" s="23">
        <v>36</v>
      </c>
      <c r="O80" s="41">
        <v>1042</v>
      </c>
      <c r="P80" s="39" t="s">
        <v>139</v>
      </c>
      <c r="Q80" s="39" t="s">
        <v>139</v>
      </c>
      <c r="R80" s="39" t="s">
        <v>139</v>
      </c>
      <c r="S80" s="39" t="s">
        <v>139</v>
      </c>
      <c r="T80" s="39" t="s">
        <v>139</v>
      </c>
      <c r="U80" s="39" t="s">
        <v>139</v>
      </c>
      <c r="V80" s="39" t="s">
        <v>139</v>
      </c>
      <c r="W80" s="39" t="s">
        <v>139</v>
      </c>
      <c r="X80" s="39" t="s">
        <v>139</v>
      </c>
      <c r="Z80" s="40" t="str">
        <f t="shared" si="2"/>
        <v>EXECUTE [dbo].[PG_CI_UNIDAD_OPERATIVA] 0, 0, 78, 'PEPSICO', 'PEPSICO', 'PEPSI', 780, 1, 0, 50, 93, 66, 36, 1042, '', '', '', '', '', '', '', '', ''</v>
      </c>
      <c r="AK80" s="25" t="s">
        <v>86</v>
      </c>
    </row>
    <row r="81" spans="1:37" ht="14.4" hidden="1" x14ac:dyDescent="0.3">
      <c r="B81" s="23">
        <v>0</v>
      </c>
      <c r="C81" s="23">
        <v>0</v>
      </c>
      <c r="D81" s="24">
        <v>79</v>
      </c>
      <c r="E81" s="25" t="s">
        <v>87</v>
      </c>
      <c r="F81" s="25" t="s">
        <v>87</v>
      </c>
      <c r="G81" s="42" t="s">
        <v>114</v>
      </c>
      <c r="H81" s="23">
        <f t="shared" si="3"/>
        <v>790</v>
      </c>
      <c r="I81" s="23">
        <v>1</v>
      </c>
      <c r="J81" s="44">
        <v>20</v>
      </c>
      <c r="K81" s="54">
        <v>60</v>
      </c>
      <c r="L81" s="23">
        <v>94</v>
      </c>
      <c r="M81" s="64">
        <v>83</v>
      </c>
      <c r="N81" s="23">
        <v>54</v>
      </c>
      <c r="O81" s="41">
        <v>1120</v>
      </c>
      <c r="P81" s="39" t="s">
        <v>139</v>
      </c>
      <c r="Q81" s="39" t="s">
        <v>139</v>
      </c>
      <c r="R81" s="39" t="s">
        <v>139</v>
      </c>
      <c r="S81" s="39" t="s">
        <v>139</v>
      </c>
      <c r="T81" s="39" t="s">
        <v>139</v>
      </c>
      <c r="U81" s="39" t="s">
        <v>139</v>
      </c>
      <c r="V81" s="39" t="s">
        <v>139</v>
      </c>
      <c r="W81" s="39" t="s">
        <v>139</v>
      </c>
      <c r="X81" s="39" t="s">
        <v>139</v>
      </c>
      <c r="Z81" s="40" t="str">
        <f t="shared" si="2"/>
        <v>EXECUTE [dbo].[PG_CI_UNIDAD_OPERATIVA] 0, 0, 79, 'VERACRUZ', 'VERACRUZ', 'VRCUZ', 790, 1, 20, 60, 94, 83, 54, 1120, '', '', '', '', '', '', '', '', ''</v>
      </c>
      <c r="AK81" s="25" t="s">
        <v>87</v>
      </c>
    </row>
    <row r="82" spans="1:37" ht="14.4" hidden="1" x14ac:dyDescent="0.3">
      <c r="B82" s="23">
        <v>0</v>
      </c>
      <c r="C82" s="23">
        <v>0</v>
      </c>
      <c r="D82" s="24">
        <v>80</v>
      </c>
      <c r="E82" s="25" t="s">
        <v>88</v>
      </c>
      <c r="F82" s="25" t="s">
        <v>88</v>
      </c>
      <c r="G82" s="42" t="s">
        <v>212</v>
      </c>
      <c r="H82" s="23">
        <f t="shared" si="3"/>
        <v>800</v>
      </c>
      <c r="I82" s="23">
        <v>1</v>
      </c>
      <c r="J82" s="44">
        <v>10</v>
      </c>
      <c r="K82" s="54">
        <v>40</v>
      </c>
      <c r="L82" s="23">
        <v>104</v>
      </c>
      <c r="M82" s="64">
        <v>41</v>
      </c>
      <c r="N82" s="23">
        <v>89</v>
      </c>
      <c r="O82" s="41">
        <v>1110</v>
      </c>
      <c r="P82" s="39" t="s">
        <v>139</v>
      </c>
      <c r="Q82" s="39" t="s">
        <v>139</v>
      </c>
      <c r="R82" s="39" t="s">
        <v>139</v>
      </c>
      <c r="S82" s="39" t="s">
        <v>139</v>
      </c>
      <c r="T82" s="39" t="s">
        <v>139</v>
      </c>
      <c r="U82" s="39" t="s">
        <v>139</v>
      </c>
      <c r="V82" s="39" t="s">
        <v>139</v>
      </c>
      <c r="W82" s="39" t="s">
        <v>139</v>
      </c>
      <c r="X82" s="39" t="s">
        <v>139</v>
      </c>
      <c r="Z82" s="40" t="str">
        <f t="shared" si="2"/>
        <v>EXECUTE [dbo].[PG_CI_UNIDAD_OPERATIVA] 0, 0, 80, 'GUANAJUATO', 'GUANAJUATO', 'GNJTO', 800, 1, 10, 40, 104, 41, 89, 1110, '', '', '', '', '', '', '', '', ''</v>
      </c>
      <c r="AK82" s="25" t="s">
        <v>88</v>
      </c>
    </row>
    <row r="83" spans="1:37" ht="14.4" hidden="1" x14ac:dyDescent="0.3">
      <c r="B83" s="23">
        <v>0</v>
      </c>
      <c r="C83" s="23">
        <v>0</v>
      </c>
      <c r="D83" s="24">
        <v>81</v>
      </c>
      <c r="E83" s="25" t="s">
        <v>89</v>
      </c>
      <c r="F83" s="25" t="s">
        <v>89</v>
      </c>
      <c r="G83" s="41" t="s">
        <v>163</v>
      </c>
      <c r="H83" s="23">
        <f t="shared" si="3"/>
        <v>810</v>
      </c>
      <c r="I83" s="23">
        <v>1</v>
      </c>
      <c r="J83" s="44">
        <v>10</v>
      </c>
      <c r="K83" s="54">
        <v>20</v>
      </c>
      <c r="L83" s="23">
        <v>106</v>
      </c>
      <c r="M83" s="64">
        <v>0</v>
      </c>
      <c r="N83" s="23">
        <v>19</v>
      </c>
      <c r="O83" s="41">
        <v>1050</v>
      </c>
      <c r="P83" s="39" t="s">
        <v>139</v>
      </c>
      <c r="Q83" s="39" t="s">
        <v>139</v>
      </c>
      <c r="R83" s="39" t="s">
        <v>139</v>
      </c>
      <c r="S83" s="39" t="s">
        <v>139</v>
      </c>
      <c r="T83" s="39" t="s">
        <v>139</v>
      </c>
      <c r="U83" s="39" t="s">
        <v>139</v>
      </c>
      <c r="V83" s="39" t="s">
        <v>139</v>
      </c>
      <c r="W83" s="39" t="s">
        <v>139</v>
      </c>
      <c r="X83" s="39" t="s">
        <v>139</v>
      </c>
      <c r="Z83" s="40" t="str">
        <f t="shared" si="2"/>
        <v>EXECUTE [dbo].[PG_CI_UNIDAD_OPERATIVA] 0, 0, 81, 'GTM-TEPEJI-CDMX', 'GTM-TEPEJI-CDMX', 'TEPJI', 810, 1, 10, 20, 106, 0, 19, 1050, '', '', '', '', '', '', '', '', ''</v>
      </c>
      <c r="AK83" s="25" t="s">
        <v>89</v>
      </c>
    </row>
    <row r="84" spans="1:37" ht="14.4" hidden="1" x14ac:dyDescent="0.3">
      <c r="B84" s="23">
        <v>0</v>
      </c>
      <c r="C84" s="23">
        <v>0</v>
      </c>
      <c r="D84" s="24">
        <v>82</v>
      </c>
      <c r="E84" s="25" t="s">
        <v>90</v>
      </c>
      <c r="F84" s="25" t="s">
        <v>90</v>
      </c>
      <c r="G84" s="42" t="s">
        <v>214</v>
      </c>
      <c r="H84" s="23">
        <f t="shared" si="3"/>
        <v>820</v>
      </c>
      <c r="I84" s="23">
        <v>1</v>
      </c>
      <c r="J84" s="44">
        <v>10</v>
      </c>
      <c r="K84" s="54">
        <v>60</v>
      </c>
      <c r="L84" s="23">
        <v>107</v>
      </c>
      <c r="M84" s="64">
        <v>52</v>
      </c>
      <c r="N84" s="23">
        <v>45</v>
      </c>
      <c r="O84" s="41">
        <v>1080</v>
      </c>
      <c r="P84" s="39" t="s">
        <v>139</v>
      </c>
      <c r="Q84" s="39" t="s">
        <v>139</v>
      </c>
      <c r="R84" s="39" t="s">
        <v>139</v>
      </c>
      <c r="S84" s="39" t="s">
        <v>139</v>
      </c>
      <c r="T84" s="39" t="s">
        <v>139</v>
      </c>
      <c r="U84" s="39" t="s">
        <v>139</v>
      </c>
      <c r="V84" s="39" t="s">
        <v>139</v>
      </c>
      <c r="W84" s="39" t="s">
        <v>139</v>
      </c>
      <c r="X84" s="39" t="s">
        <v>139</v>
      </c>
      <c r="Z84" s="40" t="str">
        <f t="shared" si="2"/>
        <v>EXECUTE [dbo].[PG_CI_UNIDAD_OPERATIVA] 0, 0, 82, 'KM80', 'KM80', 'KM.80', 820, 1, 10, 60, 107, 52, 45, 1080, '', '', '', '', '', '', '', '', ''</v>
      </c>
      <c r="AK84" s="25" t="s">
        <v>90</v>
      </c>
    </row>
    <row r="85" spans="1:37" ht="14.4" hidden="1" x14ac:dyDescent="0.3">
      <c r="B85" s="23">
        <v>0</v>
      </c>
      <c r="C85" s="23">
        <v>0</v>
      </c>
      <c r="D85" s="24">
        <v>83</v>
      </c>
      <c r="E85" s="25" t="s">
        <v>107</v>
      </c>
      <c r="F85" s="25" t="s">
        <v>107</v>
      </c>
      <c r="G85" s="42" t="s">
        <v>111</v>
      </c>
      <c r="H85" s="23">
        <f t="shared" si="3"/>
        <v>830</v>
      </c>
      <c r="I85" s="29">
        <v>1</v>
      </c>
      <c r="J85" s="44">
        <v>10</v>
      </c>
      <c r="K85" s="56">
        <v>30</v>
      </c>
      <c r="L85" s="29">
        <v>32</v>
      </c>
      <c r="M85" s="64">
        <v>30</v>
      </c>
      <c r="N85" s="23">
        <v>28</v>
      </c>
      <c r="O85" s="41">
        <v>1030</v>
      </c>
      <c r="P85" s="39" t="s">
        <v>139</v>
      </c>
      <c r="Q85" s="39" t="s">
        <v>139</v>
      </c>
      <c r="R85" s="39" t="s">
        <v>139</v>
      </c>
      <c r="S85" s="39" t="s">
        <v>139</v>
      </c>
      <c r="T85" s="39" t="s">
        <v>139</v>
      </c>
      <c r="U85" s="39" t="s">
        <v>139</v>
      </c>
      <c r="V85" s="39" t="s">
        <v>139</v>
      </c>
      <c r="W85" s="39" t="s">
        <v>139</v>
      </c>
      <c r="X85" s="39" t="s">
        <v>139</v>
      </c>
      <c r="Z85" s="40" t="str">
        <f t="shared" si="2"/>
        <v>EXECUTE [dbo].[PG_CI_UNIDAD_OPERATIVA] 0, 0, 83, 'CUAUHTEMOC', 'CUAUHTEMOC', 'CUAUH', 830, 1, 10, 30, 32, 30, 28, 1030, '', '', '', '', '', '', '', '', ''</v>
      </c>
      <c r="AK85" s="25" t="s">
        <v>107</v>
      </c>
    </row>
    <row r="86" spans="1:37" ht="14.4" hidden="1" x14ac:dyDescent="0.3">
      <c r="B86" s="23">
        <v>0</v>
      </c>
      <c r="C86" s="23">
        <v>0</v>
      </c>
      <c r="D86">
        <v>84</v>
      </c>
      <c r="E86" t="s">
        <v>138</v>
      </c>
      <c r="F86" t="s">
        <v>138</v>
      </c>
      <c r="G86" s="43" t="s">
        <v>213</v>
      </c>
      <c r="H86" s="44">
        <v>840</v>
      </c>
      <c r="I86" s="44">
        <v>1</v>
      </c>
      <c r="J86" s="44">
        <v>10</v>
      </c>
      <c r="K86" s="57">
        <v>30</v>
      </c>
      <c r="L86">
        <v>24</v>
      </c>
      <c r="M86" s="64">
        <v>51</v>
      </c>
      <c r="N86" s="23">
        <v>12</v>
      </c>
      <c r="O86" s="41">
        <v>1030</v>
      </c>
      <c r="P86" s="39" t="s">
        <v>139</v>
      </c>
      <c r="Q86" s="39" t="s">
        <v>139</v>
      </c>
      <c r="R86" s="39" t="s">
        <v>139</v>
      </c>
      <c r="S86" s="39" t="s">
        <v>139</v>
      </c>
      <c r="T86" s="39" t="s">
        <v>139</v>
      </c>
      <c r="U86" s="39" t="s">
        <v>139</v>
      </c>
      <c r="V86" s="39" t="s">
        <v>139</v>
      </c>
      <c r="W86" s="39" t="s">
        <v>139</v>
      </c>
      <c r="X86" s="39" t="s">
        <v>139</v>
      </c>
      <c r="Z86" s="40" t="str">
        <f t="shared" si="2"/>
        <v>EXECUTE [dbo].[PG_CI_UNIDAD_OPERATIVA] 0, 0, 84, 'MATRIZ', 'MATRIZ', 'NVOCG', 840, 1, 10, 30, 24, 51, 12, 1030, '', '', '', '', '', '', '', '', ''</v>
      </c>
      <c r="AK86" t="s">
        <v>138</v>
      </c>
    </row>
    <row r="87" spans="1:37" s="61" customFormat="1" ht="14.4" hidden="1" x14ac:dyDescent="0.3">
      <c r="A87" s="60" t="s">
        <v>215</v>
      </c>
      <c r="B87" s="54"/>
      <c r="C87" s="54"/>
      <c r="D87" s="60" t="s">
        <v>215</v>
      </c>
      <c r="E87" s="60" t="s">
        <v>216</v>
      </c>
      <c r="G87" s="62"/>
      <c r="H87" s="54"/>
      <c r="I87" s="58"/>
      <c r="J87" s="58"/>
      <c r="K87" s="58"/>
      <c r="L87" s="58"/>
      <c r="M87" s="58"/>
      <c r="N87" s="58"/>
      <c r="O87" s="58"/>
      <c r="P87" s="58"/>
      <c r="Q87" s="58"/>
      <c r="R87" s="63"/>
      <c r="S87" s="63"/>
      <c r="V87" s="63"/>
      <c r="AK87" s="60" t="s">
        <v>216</v>
      </c>
    </row>
    <row r="88" spans="1:37" ht="14.4" hidden="1" x14ac:dyDescent="0.3">
      <c r="A88" s="44">
        <v>86</v>
      </c>
      <c r="B88" s="23">
        <v>0</v>
      </c>
      <c r="C88" s="23">
        <v>0</v>
      </c>
      <c r="D88" s="46">
        <f>A88+10000</f>
        <v>10086</v>
      </c>
      <c r="E88" s="65" t="str">
        <f>CONCATENATE("RZS - ",AK88)</f>
        <v>RZS - GAS Y PETROLEO / GOLFO</v>
      </c>
      <c r="F88" s="59" t="str">
        <f>E88</f>
        <v>RZS - GAS Y PETROLEO / GOLFO</v>
      </c>
      <c r="G88" s="41" t="str">
        <f>LEFT(E88,10)</f>
        <v xml:space="preserve">RZS - GAS </v>
      </c>
      <c r="H88" s="44">
        <f>A88*1000</f>
        <v>86000</v>
      </c>
      <c r="I88" s="44">
        <v>1</v>
      </c>
      <c r="J88" s="31" t="s">
        <v>293</v>
      </c>
      <c r="K88" s="58" t="s">
        <v>294</v>
      </c>
      <c r="L88" s="46">
        <v>0</v>
      </c>
      <c r="M88" s="31" t="s">
        <v>294</v>
      </c>
      <c r="N88" s="46">
        <f>A88</f>
        <v>86</v>
      </c>
      <c r="O88" s="31" t="s">
        <v>294</v>
      </c>
      <c r="P88" s="39" t="s">
        <v>139</v>
      </c>
      <c r="Q88" s="39" t="s">
        <v>139</v>
      </c>
      <c r="R88" s="39" t="s">
        <v>139</v>
      </c>
      <c r="S88" s="39" t="s">
        <v>139</v>
      </c>
      <c r="T88" s="39" t="s">
        <v>139</v>
      </c>
      <c r="U88" s="39" t="s">
        <v>139</v>
      </c>
      <c r="V88" s="39" t="s">
        <v>139</v>
      </c>
      <c r="W88" s="39" t="s">
        <v>139</v>
      </c>
      <c r="X88" s="39" t="s">
        <v>139</v>
      </c>
      <c r="Z88" s="40" t="str">
        <f t="shared" si="2"/>
        <v>EXECUTE [dbo].[PG_CI_UNIDAD_OPERATIVA] 0, 0, 10086, 'RZS - GAS Y PETROLEO / GOLFO', 'RZS - GAS Y PETROLEO / GOLFO', 'RZS - GAS ', 86000, 1, 50, 0, 0, 0, 86, 0, '', '', '', '', '', '', '', '', ''</v>
      </c>
      <c r="AK88" s="45" t="s">
        <v>217</v>
      </c>
    </row>
    <row r="89" spans="1:37" ht="14.4" hidden="1" x14ac:dyDescent="0.3">
      <c r="A89" s="44">
        <v>84</v>
      </c>
      <c r="B89" s="23">
        <v>0</v>
      </c>
      <c r="C89" s="23">
        <v>0</v>
      </c>
      <c r="D89" s="46">
        <f t="shared" ref="D89:D152" si="4">A89+10000</f>
        <v>10084</v>
      </c>
      <c r="E89" s="65" t="str">
        <f t="shared" ref="E89:E152" si="5">CONCATENATE("RZS - ",AK89)</f>
        <v>RZS - GAS Y PRETROLEO / JUAREZ</v>
      </c>
      <c r="F89" s="59" t="str">
        <f t="shared" ref="F89:F152" si="6">E89</f>
        <v>RZS - GAS Y PRETROLEO / JUAREZ</v>
      </c>
      <c r="G89" s="41" t="str">
        <f t="shared" ref="G89:G152" si="7">LEFT(E89,10)</f>
        <v xml:space="preserve">RZS - GAS </v>
      </c>
      <c r="H89" s="44">
        <f t="shared" ref="H89:H152" si="8">A89*1000</f>
        <v>84000</v>
      </c>
      <c r="I89" s="44">
        <v>1</v>
      </c>
      <c r="J89" s="31" t="s">
        <v>293</v>
      </c>
      <c r="K89" s="58" t="s">
        <v>300</v>
      </c>
      <c r="L89" s="46">
        <v>0</v>
      </c>
      <c r="M89" s="31" t="s">
        <v>294</v>
      </c>
      <c r="N89" s="46">
        <f t="shared" ref="N89:N152" si="9">A89</f>
        <v>84</v>
      </c>
      <c r="O89" s="31" t="s">
        <v>294</v>
      </c>
      <c r="P89" s="39" t="s">
        <v>139</v>
      </c>
      <c r="Q89" s="39" t="s">
        <v>139</v>
      </c>
      <c r="R89" s="39" t="s">
        <v>139</v>
      </c>
      <c r="S89" s="39" t="s">
        <v>139</v>
      </c>
      <c r="T89" s="39" t="s">
        <v>139</v>
      </c>
      <c r="U89" s="39" t="s">
        <v>139</v>
      </c>
      <c r="V89" s="39" t="s">
        <v>139</v>
      </c>
      <c r="W89" s="39" t="s">
        <v>139</v>
      </c>
      <c r="X89" s="39" t="s">
        <v>139</v>
      </c>
      <c r="Z89" s="40" t="str">
        <f t="shared" si="2"/>
        <v>EXECUTE [dbo].[PG_CI_UNIDAD_OPERATIVA] 0, 0, 10084, 'RZS - GAS Y PRETROLEO / JUAREZ', 'RZS - GAS Y PRETROLEO / JUAREZ', 'RZS - GAS ', 84000, 1, 50, ?, 0, 0, 84, 0, '', '', '', '', '', '', '', '', ''</v>
      </c>
      <c r="AK89" s="45" t="s">
        <v>218</v>
      </c>
    </row>
    <row r="90" spans="1:37" ht="14.4" x14ac:dyDescent="0.3">
      <c r="A90" s="44">
        <v>6</v>
      </c>
      <c r="B90" s="23">
        <v>0</v>
      </c>
      <c r="C90" s="23">
        <v>0</v>
      </c>
      <c r="D90" s="66">
        <f t="shared" si="4"/>
        <v>10006</v>
      </c>
      <c r="E90" s="67" t="str">
        <f t="shared" si="5"/>
        <v>RZS - MEXICANA DE GAS</v>
      </c>
      <c r="F90" s="59" t="str">
        <f t="shared" si="6"/>
        <v>RZS - MEXICANA DE GAS</v>
      </c>
      <c r="G90" s="41" t="str">
        <f t="shared" si="7"/>
        <v>RZS - MEXI</v>
      </c>
      <c r="H90" s="44">
        <f t="shared" si="8"/>
        <v>6000</v>
      </c>
      <c r="I90" s="44">
        <v>1</v>
      </c>
      <c r="J90" s="31" t="s">
        <v>293</v>
      </c>
      <c r="K90" s="55">
        <v>70</v>
      </c>
      <c r="L90" s="46">
        <v>0</v>
      </c>
      <c r="M90" s="31" t="s">
        <v>294</v>
      </c>
      <c r="N90" s="46">
        <f t="shared" si="9"/>
        <v>6</v>
      </c>
      <c r="O90" s="31" t="s">
        <v>294</v>
      </c>
      <c r="P90" s="39" t="s">
        <v>139</v>
      </c>
      <c r="Q90" s="39" t="s">
        <v>139</v>
      </c>
      <c r="R90" s="39" t="s">
        <v>139</v>
      </c>
      <c r="S90" s="39" t="s">
        <v>139</v>
      </c>
      <c r="T90" s="39" t="s">
        <v>139</v>
      </c>
      <c r="U90" s="39" t="s">
        <v>139</v>
      </c>
      <c r="V90" s="39" t="s">
        <v>139</v>
      </c>
      <c r="W90" s="39" t="s">
        <v>139</v>
      </c>
      <c r="X90" s="39" t="s">
        <v>139</v>
      </c>
      <c r="Z90" s="40" t="str">
        <f t="shared" si="2"/>
        <v>EXECUTE [dbo].[PG_CI_UNIDAD_OPERATIVA] 0, 0, 10006, 'RZS - MEXICANA DE GAS', 'RZS - MEXICANA DE GAS', 'RZS - MEXI', 6000, 1, 50, 70, 0, 0, 6, 0, '', '', '', '', '', '', '', '', ''</v>
      </c>
      <c r="AK90" s="45" t="s">
        <v>30</v>
      </c>
    </row>
    <row r="91" spans="1:37" ht="14.4" x14ac:dyDescent="0.3">
      <c r="A91" s="44">
        <v>10</v>
      </c>
      <c r="B91" s="23">
        <v>0</v>
      </c>
      <c r="C91" s="23">
        <v>0</v>
      </c>
      <c r="D91" s="66">
        <f t="shared" si="4"/>
        <v>10010</v>
      </c>
      <c r="E91" s="67" t="str">
        <f t="shared" si="5"/>
        <v>RZS - BUTEP</v>
      </c>
      <c r="F91" s="59" t="str">
        <f t="shared" si="6"/>
        <v>RZS - BUTEP</v>
      </c>
      <c r="G91" s="41" t="str">
        <f t="shared" si="7"/>
        <v>RZS - BUTE</v>
      </c>
      <c r="H91" s="44">
        <f t="shared" si="8"/>
        <v>10000</v>
      </c>
      <c r="I91" s="44">
        <v>1</v>
      </c>
      <c r="J91" s="31" t="s">
        <v>293</v>
      </c>
      <c r="K91" s="58" t="s">
        <v>298</v>
      </c>
      <c r="L91" s="46">
        <v>0</v>
      </c>
      <c r="M91" s="31" t="s">
        <v>294</v>
      </c>
      <c r="N91" s="46">
        <f t="shared" si="9"/>
        <v>10</v>
      </c>
      <c r="O91" s="31" t="s">
        <v>294</v>
      </c>
      <c r="P91" s="39" t="s">
        <v>139</v>
      </c>
      <c r="Q91" s="39" t="s">
        <v>139</v>
      </c>
      <c r="R91" s="39" t="s">
        <v>139</v>
      </c>
      <c r="S91" s="39" t="s">
        <v>139</v>
      </c>
      <c r="T91" s="39" t="s">
        <v>139</v>
      </c>
      <c r="U91" s="39" t="s">
        <v>139</v>
      </c>
      <c r="V91" s="39" t="s">
        <v>139</v>
      </c>
      <c r="W91" s="39" t="s">
        <v>139</v>
      </c>
      <c r="X91" s="39" t="s">
        <v>139</v>
      </c>
      <c r="Z91" s="40" t="str">
        <f t="shared" si="2"/>
        <v>EXECUTE [dbo].[PG_CI_UNIDAD_OPERATIVA] 0, 0, 10010, 'RZS - BUTEP', 'RZS - BUTEP', 'RZS - BUTE', 10000, 1, 50, 40, 0, 0, 10, 0, '', '', '', '', '', '', '', '', ''</v>
      </c>
      <c r="AK91" s="45" t="s">
        <v>219</v>
      </c>
    </row>
    <row r="92" spans="1:37" ht="14.4" x14ac:dyDescent="0.3">
      <c r="A92" s="44">
        <v>11</v>
      </c>
      <c r="B92" s="23">
        <v>0</v>
      </c>
      <c r="C92" s="23">
        <v>0</v>
      </c>
      <c r="D92" s="66">
        <f t="shared" si="4"/>
        <v>10011</v>
      </c>
      <c r="E92" s="67" t="str">
        <f t="shared" si="5"/>
        <v>RZS - CHAPULTEPEC (GAS)</v>
      </c>
      <c r="F92" s="59" t="str">
        <f t="shared" si="6"/>
        <v>RZS - CHAPULTEPEC (GAS)</v>
      </c>
      <c r="G92" s="41" t="str">
        <f t="shared" si="7"/>
        <v>RZS - CHAP</v>
      </c>
      <c r="H92" s="44">
        <f t="shared" si="8"/>
        <v>11000</v>
      </c>
      <c r="I92" s="44">
        <v>1</v>
      </c>
      <c r="J92" s="31" t="s">
        <v>293</v>
      </c>
      <c r="K92" s="55">
        <v>70</v>
      </c>
      <c r="L92" s="46">
        <v>0</v>
      </c>
      <c r="M92" s="31" t="s">
        <v>294</v>
      </c>
      <c r="N92" s="46">
        <f t="shared" si="9"/>
        <v>11</v>
      </c>
      <c r="O92" s="31" t="s">
        <v>294</v>
      </c>
      <c r="P92" s="39" t="s">
        <v>139</v>
      </c>
      <c r="Q92" s="39" t="s">
        <v>139</v>
      </c>
      <c r="R92" s="39" t="s">
        <v>139</v>
      </c>
      <c r="S92" s="39" t="s">
        <v>139</v>
      </c>
      <c r="T92" s="39" t="s">
        <v>139</v>
      </c>
      <c r="U92" s="39" t="s">
        <v>139</v>
      </c>
      <c r="V92" s="39" t="s">
        <v>139</v>
      </c>
      <c r="W92" s="39" t="s">
        <v>139</v>
      </c>
      <c r="X92" s="39" t="s">
        <v>139</v>
      </c>
      <c r="Z92" s="40" t="str">
        <f t="shared" si="2"/>
        <v>EXECUTE [dbo].[PG_CI_UNIDAD_OPERATIVA] 0, 0, 10011, 'RZS - CHAPULTEPEC (GAS)', 'RZS - CHAPULTEPEC (GAS)', 'RZS - CHAP', 11000, 1, 50, 70, 0, 0, 11, 0, '', '', '', '', '', '', '', '', ''</v>
      </c>
      <c r="AK92" s="45" t="s">
        <v>220</v>
      </c>
    </row>
    <row r="93" spans="1:37" ht="14.4" x14ac:dyDescent="0.3">
      <c r="A93" s="44">
        <v>12</v>
      </c>
      <c r="B93" s="23">
        <v>0</v>
      </c>
      <c r="C93" s="23">
        <v>0</v>
      </c>
      <c r="D93" s="66">
        <f t="shared" si="4"/>
        <v>10012</v>
      </c>
      <c r="E93" s="67" t="str">
        <f t="shared" si="5"/>
        <v>RZS - GAS COMERCIAL / NUEVO CASAS GRANDES</v>
      </c>
      <c r="F93" s="59" t="str">
        <f t="shared" si="6"/>
        <v>RZS - GAS COMERCIAL / NUEVO CASAS GRANDES</v>
      </c>
      <c r="G93" s="41" t="str">
        <f t="shared" si="7"/>
        <v xml:space="preserve">RZS - GAS </v>
      </c>
      <c r="H93" s="44">
        <f t="shared" si="8"/>
        <v>12000</v>
      </c>
      <c r="I93" s="44">
        <v>1</v>
      </c>
      <c r="J93" s="31" t="s">
        <v>293</v>
      </c>
      <c r="K93" s="58" t="s">
        <v>297</v>
      </c>
      <c r="L93" s="46">
        <v>0</v>
      </c>
      <c r="M93" s="31" t="s">
        <v>294</v>
      </c>
      <c r="N93" s="46">
        <f t="shared" si="9"/>
        <v>12</v>
      </c>
      <c r="O93" s="31" t="s">
        <v>294</v>
      </c>
      <c r="P93" s="39" t="s">
        <v>139</v>
      </c>
      <c r="Q93" s="39" t="s">
        <v>139</v>
      </c>
      <c r="R93" s="39" t="s">
        <v>139</v>
      </c>
      <c r="S93" s="39" t="s">
        <v>139</v>
      </c>
      <c r="T93" s="39" t="s">
        <v>139</v>
      </c>
      <c r="U93" s="39" t="s">
        <v>139</v>
      </c>
      <c r="V93" s="39" t="s">
        <v>139</v>
      </c>
      <c r="W93" s="39" t="s">
        <v>139</v>
      </c>
      <c r="X93" s="39" t="s">
        <v>139</v>
      </c>
      <c r="Z93" s="40" t="str">
        <f t="shared" si="2"/>
        <v>EXECUTE [dbo].[PG_CI_UNIDAD_OPERATIVA] 0, 0, 10012, 'RZS - GAS COMERCIAL / NUEVO CASAS GRANDES', 'RZS - GAS COMERCIAL / NUEVO CASAS GRANDES', 'RZS - GAS ', 12000, 1, 50, 30, 0, 0, 12, 0, '', '', '', '', '', '', '', '', ''</v>
      </c>
      <c r="AK93" s="45" t="s">
        <v>221</v>
      </c>
    </row>
    <row r="94" spans="1:37" ht="14.4" x14ac:dyDescent="0.3">
      <c r="A94" s="44">
        <v>13</v>
      </c>
      <c r="B94" s="23">
        <v>0</v>
      </c>
      <c r="C94" s="23">
        <v>0</v>
      </c>
      <c r="D94" s="66">
        <f t="shared" si="4"/>
        <v>10013</v>
      </c>
      <c r="E94" s="67" t="str">
        <f t="shared" si="5"/>
        <v>RZS - GAS COMERCIAL / VILLA AHUMADA</v>
      </c>
      <c r="F94" s="59" t="str">
        <f t="shared" si="6"/>
        <v>RZS - GAS COMERCIAL / VILLA AHUMADA</v>
      </c>
      <c r="G94" s="41" t="str">
        <f t="shared" si="7"/>
        <v xml:space="preserve">RZS - GAS </v>
      </c>
      <c r="H94" s="44">
        <f t="shared" si="8"/>
        <v>13000</v>
      </c>
      <c r="I94" s="44">
        <v>1</v>
      </c>
      <c r="J94" s="31" t="s">
        <v>293</v>
      </c>
      <c r="K94" s="58" t="s">
        <v>297</v>
      </c>
      <c r="L94" s="46">
        <v>0</v>
      </c>
      <c r="M94" s="31" t="s">
        <v>294</v>
      </c>
      <c r="N94" s="46">
        <f t="shared" si="9"/>
        <v>13</v>
      </c>
      <c r="O94" s="31" t="s">
        <v>294</v>
      </c>
      <c r="P94" s="39" t="s">
        <v>139</v>
      </c>
      <c r="Q94" s="39" t="s">
        <v>139</v>
      </c>
      <c r="R94" s="39" t="s">
        <v>139</v>
      </c>
      <c r="S94" s="39" t="s">
        <v>139</v>
      </c>
      <c r="T94" s="39" t="s">
        <v>139</v>
      </c>
      <c r="U94" s="39" t="s">
        <v>139</v>
      </c>
      <c r="V94" s="39" t="s">
        <v>139</v>
      </c>
      <c r="W94" s="39" t="s">
        <v>139</v>
      </c>
      <c r="X94" s="39" t="s">
        <v>139</v>
      </c>
      <c r="Z94" s="40" t="str">
        <f t="shared" si="2"/>
        <v>EXECUTE [dbo].[PG_CI_UNIDAD_OPERATIVA] 0, 0, 10013, 'RZS - GAS COMERCIAL / VILLA AHUMADA', 'RZS - GAS COMERCIAL / VILLA AHUMADA', 'RZS - GAS ', 13000, 1, 50, 30, 0, 0, 13, 0, '', '', '', '', '', '', '', '', ''</v>
      </c>
      <c r="AK94" s="45" t="s">
        <v>222</v>
      </c>
    </row>
    <row r="95" spans="1:37" ht="14.4" x14ac:dyDescent="0.3">
      <c r="A95" s="44">
        <v>53</v>
      </c>
      <c r="B95" s="23">
        <v>0</v>
      </c>
      <c r="C95" s="23">
        <v>0</v>
      </c>
      <c r="D95" s="66">
        <f t="shared" si="4"/>
        <v>10053</v>
      </c>
      <c r="E95" s="67" t="str">
        <f t="shared" si="5"/>
        <v>RZS - TENABO (GAS)</v>
      </c>
      <c r="F95" s="59" t="str">
        <f t="shared" si="6"/>
        <v>RZS - TENABO (GAS)</v>
      </c>
      <c r="G95" s="41" t="str">
        <f t="shared" si="7"/>
        <v>RZS - TENA</v>
      </c>
      <c r="H95" s="44">
        <f t="shared" si="8"/>
        <v>53000</v>
      </c>
      <c r="I95" s="44">
        <v>1</v>
      </c>
      <c r="J95" s="31" t="s">
        <v>293</v>
      </c>
      <c r="K95" s="58" t="s">
        <v>299</v>
      </c>
      <c r="L95" s="46">
        <v>0</v>
      </c>
      <c r="M95" s="31" t="s">
        <v>294</v>
      </c>
      <c r="N95" s="46">
        <f t="shared" si="9"/>
        <v>53</v>
      </c>
      <c r="O95" s="31" t="s">
        <v>294</v>
      </c>
      <c r="P95" s="39" t="s">
        <v>139</v>
      </c>
      <c r="Q95" s="39" t="s">
        <v>139</v>
      </c>
      <c r="R95" s="39" t="s">
        <v>139</v>
      </c>
      <c r="S95" s="39" t="s">
        <v>139</v>
      </c>
      <c r="T95" s="39" t="s">
        <v>139</v>
      </c>
      <c r="U95" s="39" t="s">
        <v>139</v>
      </c>
      <c r="V95" s="39" t="s">
        <v>139</v>
      </c>
      <c r="W95" s="39" t="s">
        <v>139</v>
      </c>
      <c r="X95" s="39" t="s">
        <v>139</v>
      </c>
      <c r="Z95" s="40" t="str">
        <f t="shared" si="2"/>
        <v>EXECUTE [dbo].[PG_CI_UNIDAD_OPERATIVA] 0, 0, 10053, 'RZS - TENABO (GAS)', 'RZS - TENABO (GAS)', 'RZS - TENA', 53000, 1, 50, 60, 0, 0, 53, 0, '', '', '', '', '', '', '', '', ''</v>
      </c>
      <c r="AK95" s="45" t="s">
        <v>223</v>
      </c>
    </row>
    <row r="96" spans="1:37" ht="14.4" x14ac:dyDescent="0.3">
      <c r="A96" s="44">
        <v>16</v>
      </c>
      <c r="B96" s="23">
        <v>0</v>
      </c>
      <c r="C96" s="23">
        <v>0</v>
      </c>
      <c r="D96" s="66">
        <f t="shared" si="4"/>
        <v>10016</v>
      </c>
      <c r="E96" s="67" t="str">
        <f t="shared" si="5"/>
        <v>RZS - SILZA (GAS)</v>
      </c>
      <c r="F96" s="59" t="str">
        <f t="shared" si="6"/>
        <v>RZS - SILZA (GAS)</v>
      </c>
      <c r="G96" s="41" t="str">
        <f t="shared" si="7"/>
        <v>RZS - SILZ</v>
      </c>
      <c r="H96" s="44">
        <f t="shared" si="8"/>
        <v>16000</v>
      </c>
      <c r="I96" s="44">
        <v>1</v>
      </c>
      <c r="J96" s="31" t="s">
        <v>293</v>
      </c>
      <c r="K96" s="58" t="s">
        <v>295</v>
      </c>
      <c r="L96" s="46">
        <v>0</v>
      </c>
      <c r="M96" s="31" t="s">
        <v>294</v>
      </c>
      <c r="N96" s="46">
        <f t="shared" si="9"/>
        <v>16</v>
      </c>
      <c r="O96" s="31" t="s">
        <v>294</v>
      </c>
      <c r="P96" s="39" t="s">
        <v>139</v>
      </c>
      <c r="Q96" s="39" t="s">
        <v>139</v>
      </c>
      <c r="R96" s="39" t="s">
        <v>139</v>
      </c>
      <c r="S96" s="39" t="s">
        <v>139</v>
      </c>
      <c r="T96" s="39" t="s">
        <v>139</v>
      </c>
      <c r="U96" s="39" t="s">
        <v>139</v>
      </c>
      <c r="V96" s="39" t="s">
        <v>139</v>
      </c>
      <c r="W96" s="39" t="s">
        <v>139</v>
      </c>
      <c r="X96" s="39" t="s">
        <v>139</v>
      </c>
      <c r="Z96" s="40" t="str">
        <f t="shared" si="2"/>
        <v>EXECUTE [dbo].[PG_CI_UNIDAD_OPERATIVA] 0, 0, 10016, 'RZS - SILZA (GAS)', 'RZS - SILZA (GAS)', 'RZS - SILZ', 16000, 1, 50, 10, 0, 0, 16, 0, '', '', '', '', '', '', '', '', ''</v>
      </c>
      <c r="AK96" s="45" t="s">
        <v>224</v>
      </c>
    </row>
    <row r="97" spans="1:37" ht="14.4" x14ac:dyDescent="0.3">
      <c r="A97" s="44">
        <v>89</v>
      </c>
      <c r="B97" s="23">
        <v>0</v>
      </c>
      <c r="C97" s="23">
        <v>0</v>
      </c>
      <c r="D97" s="66">
        <f t="shared" si="4"/>
        <v>10089</v>
      </c>
      <c r="E97" s="67" t="str">
        <f t="shared" si="5"/>
        <v>RZS - TITANIUM (GAS)</v>
      </c>
      <c r="F97" s="59" t="str">
        <f t="shared" si="6"/>
        <v>RZS - TITANIUM (GAS)</v>
      </c>
      <c r="G97" s="41" t="str">
        <f t="shared" si="7"/>
        <v>RZS - TITA</v>
      </c>
      <c r="H97" s="44">
        <f t="shared" si="8"/>
        <v>89000</v>
      </c>
      <c r="I97" s="44">
        <v>1</v>
      </c>
      <c r="J97" s="31" t="s">
        <v>293</v>
      </c>
      <c r="K97" s="58" t="s">
        <v>296</v>
      </c>
      <c r="L97" s="46">
        <v>0</v>
      </c>
      <c r="M97" s="31" t="s">
        <v>294</v>
      </c>
      <c r="N97" s="46">
        <f t="shared" si="9"/>
        <v>89</v>
      </c>
      <c r="O97" s="31" t="s">
        <v>294</v>
      </c>
      <c r="P97" s="39" t="s">
        <v>139</v>
      </c>
      <c r="Q97" s="39" t="s">
        <v>139</v>
      </c>
      <c r="R97" s="39" t="s">
        <v>139</v>
      </c>
      <c r="S97" s="39" t="s">
        <v>139</v>
      </c>
      <c r="T97" s="39" t="s">
        <v>139</v>
      </c>
      <c r="U97" s="39" t="s">
        <v>139</v>
      </c>
      <c r="V97" s="39" t="s">
        <v>139</v>
      </c>
      <c r="W97" s="39" t="s">
        <v>139</v>
      </c>
      <c r="X97" s="39" t="s">
        <v>139</v>
      </c>
      <c r="Z97" s="40" t="str">
        <f t="shared" si="2"/>
        <v>EXECUTE [dbo].[PG_CI_UNIDAD_OPERATIVA] 0, 0, 10089, 'RZS - TITANIUM (GAS)', 'RZS - TITANIUM (GAS)', 'RZS - TITA', 89000, 1, 50, 20, 0, 0, 89, 0, '', '', '', '', '', '', '', '', ''</v>
      </c>
      <c r="AK97" s="45" t="s">
        <v>225</v>
      </c>
    </row>
    <row r="98" spans="1:37" ht="14.4" x14ac:dyDescent="0.3">
      <c r="A98" s="44">
        <v>19</v>
      </c>
      <c r="B98" s="23">
        <v>0</v>
      </c>
      <c r="C98" s="23">
        <v>0</v>
      </c>
      <c r="D98" s="66">
        <f t="shared" si="4"/>
        <v>10019</v>
      </c>
      <c r="E98" s="67" t="str">
        <f t="shared" si="5"/>
        <v>RZS - TOMZA / MEXICO (GAS)</v>
      </c>
      <c r="F98" s="59" t="str">
        <f t="shared" si="6"/>
        <v>RZS - TOMZA / MEXICO (GAS)</v>
      </c>
      <c r="G98" s="41" t="str">
        <f t="shared" si="7"/>
        <v>RZS - TOMZ</v>
      </c>
      <c r="H98" s="44">
        <f t="shared" si="8"/>
        <v>19000</v>
      </c>
      <c r="I98" s="44">
        <v>1</v>
      </c>
      <c r="J98" s="31" t="s">
        <v>293</v>
      </c>
      <c r="K98" s="58" t="s">
        <v>296</v>
      </c>
      <c r="L98" s="46">
        <v>0</v>
      </c>
      <c r="M98" s="31" t="s">
        <v>294</v>
      </c>
      <c r="N98" s="46">
        <f t="shared" si="9"/>
        <v>19</v>
      </c>
      <c r="O98" s="31" t="s">
        <v>294</v>
      </c>
      <c r="P98" s="39" t="s">
        <v>139</v>
      </c>
      <c r="Q98" s="39" t="s">
        <v>139</v>
      </c>
      <c r="R98" s="39" t="s">
        <v>139</v>
      </c>
      <c r="S98" s="39" t="s">
        <v>139</v>
      </c>
      <c r="T98" s="39" t="s">
        <v>139</v>
      </c>
      <c r="U98" s="39" t="s">
        <v>139</v>
      </c>
      <c r="V98" s="39" t="s">
        <v>139</v>
      </c>
      <c r="W98" s="39" t="s">
        <v>139</v>
      </c>
      <c r="X98" s="39" t="s">
        <v>139</v>
      </c>
      <c r="Z98" s="40" t="str">
        <f t="shared" si="2"/>
        <v>EXECUTE [dbo].[PG_CI_UNIDAD_OPERATIVA] 0, 0, 10019, 'RZS - TOMZA / MEXICO (GAS)', 'RZS - TOMZA / MEXICO (GAS)', 'RZS - TOMZ', 19000, 1, 50, 20, 0, 0, 19, 0, '', '', '', '', '', '', '', '', ''</v>
      </c>
      <c r="AK98" s="45" t="s">
        <v>226</v>
      </c>
    </row>
    <row r="99" spans="1:37" ht="14.4" x14ac:dyDescent="0.3">
      <c r="A99" s="44">
        <v>15</v>
      </c>
      <c r="B99" s="23">
        <v>0</v>
      </c>
      <c r="C99" s="23">
        <v>0</v>
      </c>
      <c r="D99" s="66">
        <f t="shared" si="4"/>
        <v>10015</v>
      </c>
      <c r="E99" s="67" t="str">
        <f t="shared" si="5"/>
        <v>RZS - TOMZA / PUEBLA (GAS)</v>
      </c>
      <c r="F99" s="59" t="str">
        <f t="shared" si="6"/>
        <v>RZS - TOMZA / PUEBLA (GAS)</v>
      </c>
      <c r="G99" s="41" t="str">
        <f t="shared" si="7"/>
        <v>RZS - TOMZ</v>
      </c>
      <c r="H99" s="44">
        <f t="shared" si="8"/>
        <v>15000</v>
      </c>
      <c r="I99" s="44">
        <v>1</v>
      </c>
      <c r="J99" s="31" t="s">
        <v>293</v>
      </c>
      <c r="K99" s="58" t="s">
        <v>296</v>
      </c>
      <c r="L99" s="46">
        <v>0</v>
      </c>
      <c r="M99" s="31" t="s">
        <v>294</v>
      </c>
      <c r="N99" s="46">
        <f t="shared" si="9"/>
        <v>15</v>
      </c>
      <c r="O99" s="31" t="s">
        <v>294</v>
      </c>
      <c r="P99" s="39" t="s">
        <v>139</v>
      </c>
      <c r="Q99" s="39" t="s">
        <v>139</v>
      </c>
      <c r="R99" s="39" t="s">
        <v>139</v>
      </c>
      <c r="S99" s="39" t="s">
        <v>139</v>
      </c>
      <c r="T99" s="39" t="s">
        <v>139</v>
      </c>
      <c r="U99" s="39" t="s">
        <v>139</v>
      </c>
      <c r="V99" s="39" t="s">
        <v>139</v>
      </c>
      <c r="W99" s="39" t="s">
        <v>139</v>
      </c>
      <c r="X99" s="39" t="s">
        <v>139</v>
      </c>
      <c r="Z99" s="40" t="str">
        <f t="shared" si="2"/>
        <v>EXECUTE [dbo].[PG_CI_UNIDAD_OPERATIVA] 0, 0, 10015, 'RZS - TOMZA / PUEBLA (GAS)', 'RZS - TOMZA / PUEBLA (GAS)', 'RZS - TOMZ', 15000, 1, 50, 20, 0, 0, 15, 0, '', '', '', '', '', '', '', '', ''</v>
      </c>
      <c r="AK99" s="45" t="s">
        <v>227</v>
      </c>
    </row>
    <row r="100" spans="1:37" ht="14.4" x14ac:dyDescent="0.3">
      <c r="A100" s="44">
        <v>45</v>
      </c>
      <c r="B100" s="23">
        <v>0</v>
      </c>
      <c r="C100" s="23">
        <v>0</v>
      </c>
      <c r="D100" s="66">
        <f t="shared" si="4"/>
        <v>10045</v>
      </c>
      <c r="E100" s="67" t="str">
        <f t="shared" si="5"/>
        <v>RZS - TOMZA / YUCATAN (GAS)</v>
      </c>
      <c r="F100" s="59" t="str">
        <f t="shared" si="6"/>
        <v>RZS - TOMZA / YUCATAN (GAS)</v>
      </c>
      <c r="G100" s="41" t="str">
        <f t="shared" si="7"/>
        <v>RZS - TOMZ</v>
      </c>
      <c r="H100" s="44">
        <f t="shared" si="8"/>
        <v>45000</v>
      </c>
      <c r="I100" s="44">
        <v>1</v>
      </c>
      <c r="J100" s="31" t="s">
        <v>293</v>
      </c>
      <c r="K100" s="58" t="s">
        <v>299</v>
      </c>
      <c r="L100" s="46">
        <v>0</v>
      </c>
      <c r="M100" s="31" t="s">
        <v>294</v>
      </c>
      <c r="N100" s="46">
        <f t="shared" si="9"/>
        <v>45</v>
      </c>
      <c r="O100" s="31" t="s">
        <v>294</v>
      </c>
      <c r="P100" s="39" t="s">
        <v>139</v>
      </c>
      <c r="Q100" s="39" t="s">
        <v>139</v>
      </c>
      <c r="R100" s="39" t="s">
        <v>139</v>
      </c>
      <c r="S100" s="39" t="s">
        <v>139</v>
      </c>
      <c r="T100" s="39" t="s">
        <v>139</v>
      </c>
      <c r="U100" s="39" t="s">
        <v>139</v>
      </c>
      <c r="V100" s="39" t="s">
        <v>139</v>
      </c>
      <c r="W100" s="39" t="s">
        <v>139</v>
      </c>
      <c r="X100" s="39" t="s">
        <v>139</v>
      </c>
      <c r="Z100" s="40" t="str">
        <f t="shared" si="2"/>
        <v>EXECUTE [dbo].[PG_CI_UNIDAD_OPERATIVA] 0, 0, 10045, 'RZS - TOMZA / YUCATAN (GAS)', 'RZS - TOMZA / YUCATAN (GAS)', 'RZS - TOMZ', 45000, 1, 50, 60, 0, 0, 45, 0, '', '', '', '', '', '', '', '', ''</v>
      </c>
      <c r="AK100" s="45" t="s">
        <v>228</v>
      </c>
    </row>
    <row r="101" spans="1:37" ht="14.4" x14ac:dyDescent="0.3">
      <c r="A101" s="44">
        <v>21</v>
      </c>
      <c r="B101" s="23">
        <v>0</v>
      </c>
      <c r="C101" s="23">
        <v>0</v>
      </c>
      <c r="D101" s="66">
        <f t="shared" si="4"/>
        <v>10021</v>
      </c>
      <c r="E101" s="67" t="str">
        <f t="shared" si="5"/>
        <v>RZS - URIBE ACAPULCO (GAS)</v>
      </c>
      <c r="F101" s="59" t="str">
        <f t="shared" si="6"/>
        <v>RZS - URIBE ACAPULCO (GAS)</v>
      </c>
      <c r="G101" s="41" t="str">
        <f t="shared" si="7"/>
        <v>RZS - URIB</v>
      </c>
      <c r="H101" s="44">
        <f t="shared" si="8"/>
        <v>21000</v>
      </c>
      <c r="I101" s="44">
        <v>1</v>
      </c>
      <c r="J101" s="31" t="s">
        <v>293</v>
      </c>
      <c r="K101" s="58" t="s">
        <v>296</v>
      </c>
      <c r="L101" s="46">
        <v>0</v>
      </c>
      <c r="M101" s="31" t="s">
        <v>294</v>
      </c>
      <c r="N101" s="46">
        <f t="shared" si="9"/>
        <v>21</v>
      </c>
      <c r="O101" s="31" t="s">
        <v>294</v>
      </c>
      <c r="P101" s="39" t="s">
        <v>139</v>
      </c>
      <c r="Q101" s="39" t="s">
        <v>139</v>
      </c>
      <c r="R101" s="39" t="s">
        <v>139</v>
      </c>
      <c r="S101" s="39" t="s">
        <v>139</v>
      </c>
      <c r="T101" s="39" t="s">
        <v>139</v>
      </c>
      <c r="U101" s="39" t="s">
        <v>139</v>
      </c>
      <c r="V101" s="39" t="s">
        <v>139</v>
      </c>
      <c r="W101" s="39" t="s">
        <v>139</v>
      </c>
      <c r="X101" s="39" t="s">
        <v>139</v>
      </c>
      <c r="Z101" s="40" t="str">
        <f t="shared" si="2"/>
        <v>EXECUTE [dbo].[PG_CI_UNIDAD_OPERATIVA] 0, 0, 10021, 'RZS - URIBE ACAPULCO (GAS)', 'RZS - URIBE ACAPULCO (GAS)', 'RZS - URIB', 21000, 1, 50, 20, 0, 0, 21, 0, '', '', '', '', '', '', '', '', ''</v>
      </c>
      <c r="AK101" s="45" t="s">
        <v>229</v>
      </c>
    </row>
    <row r="102" spans="1:37" ht="14.4" x14ac:dyDescent="0.3">
      <c r="A102" s="44">
        <v>49</v>
      </c>
      <c r="B102" s="23">
        <v>0</v>
      </c>
      <c r="C102" s="23">
        <v>0</v>
      </c>
      <c r="D102" s="66">
        <f t="shared" si="4"/>
        <v>10049</v>
      </c>
      <c r="E102" s="67" t="str">
        <f t="shared" si="5"/>
        <v>RZS - VULCANO (GAS)</v>
      </c>
      <c r="F102" s="59" t="str">
        <f t="shared" si="6"/>
        <v>RZS - VULCANO (GAS)</v>
      </c>
      <c r="G102" s="41" t="str">
        <f t="shared" si="7"/>
        <v>RZS - VULC</v>
      </c>
      <c r="H102" s="44">
        <f t="shared" si="8"/>
        <v>49000</v>
      </c>
      <c r="I102" s="44">
        <v>1</v>
      </c>
      <c r="J102" s="31" t="s">
        <v>293</v>
      </c>
      <c r="K102" s="58" t="s">
        <v>298</v>
      </c>
      <c r="L102" s="46">
        <v>0</v>
      </c>
      <c r="M102" s="31" t="s">
        <v>294</v>
      </c>
      <c r="N102" s="46">
        <f t="shared" si="9"/>
        <v>49</v>
      </c>
      <c r="O102" s="31" t="s">
        <v>294</v>
      </c>
      <c r="P102" s="39" t="s">
        <v>139</v>
      </c>
      <c r="Q102" s="39" t="s">
        <v>139</v>
      </c>
      <c r="R102" s="39" t="s">
        <v>139</v>
      </c>
      <c r="S102" s="39" t="s">
        <v>139</v>
      </c>
      <c r="T102" s="39" t="s">
        <v>139</v>
      </c>
      <c r="U102" s="39" t="s">
        <v>139</v>
      </c>
      <c r="V102" s="39" t="s">
        <v>139</v>
      </c>
      <c r="W102" s="39" t="s">
        <v>139</v>
      </c>
      <c r="X102" s="39" t="s">
        <v>139</v>
      </c>
      <c r="Z102" s="40" t="str">
        <f t="shared" si="2"/>
        <v>EXECUTE [dbo].[PG_CI_UNIDAD_OPERATIVA] 0, 0, 10049, 'RZS - VULCANO (GAS)', 'RZS - VULCANO (GAS)', 'RZS - VULC', 49000, 1, 50, 40, 0, 0, 49, 0, '', '', '', '', '', '', '', '', ''</v>
      </c>
      <c r="AK102" s="45" t="s">
        <v>230</v>
      </c>
    </row>
    <row r="103" spans="1:37" ht="14.4" x14ac:dyDescent="0.3">
      <c r="A103" s="44">
        <v>23</v>
      </c>
      <c r="B103" s="23">
        <v>0</v>
      </c>
      <c r="C103" s="23">
        <v>0</v>
      </c>
      <c r="D103" s="66">
        <f t="shared" si="4"/>
        <v>10023</v>
      </c>
      <c r="E103" s="67" t="str">
        <f t="shared" si="5"/>
        <v>RZS - GAS Y SERVICIO</v>
      </c>
      <c r="F103" s="59" t="str">
        <f t="shared" si="6"/>
        <v>RZS - GAS Y SERVICIO</v>
      </c>
      <c r="G103" s="41" t="str">
        <f t="shared" si="7"/>
        <v xml:space="preserve">RZS - GAS </v>
      </c>
      <c r="H103" s="44">
        <f t="shared" si="8"/>
        <v>23000</v>
      </c>
      <c r="I103" s="44">
        <v>1</v>
      </c>
      <c r="J103" s="31" t="s">
        <v>293</v>
      </c>
      <c r="K103" s="55">
        <v>70</v>
      </c>
      <c r="L103" s="46">
        <v>0</v>
      </c>
      <c r="M103" s="31" t="s">
        <v>294</v>
      </c>
      <c r="N103" s="46">
        <f t="shared" si="9"/>
        <v>23</v>
      </c>
      <c r="O103" s="31" t="s">
        <v>294</v>
      </c>
      <c r="P103" s="39" t="s">
        <v>139</v>
      </c>
      <c r="Q103" s="39" t="s">
        <v>139</v>
      </c>
      <c r="R103" s="39" t="s">
        <v>139</v>
      </c>
      <c r="S103" s="39" t="s">
        <v>139</v>
      </c>
      <c r="T103" s="39" t="s">
        <v>139</v>
      </c>
      <c r="U103" s="39" t="s">
        <v>139</v>
      </c>
      <c r="V103" s="39" t="s">
        <v>139</v>
      </c>
      <c r="W103" s="39" t="s">
        <v>139</v>
      </c>
      <c r="X103" s="39" t="s">
        <v>139</v>
      </c>
      <c r="Z103" s="40" t="str">
        <f t="shared" si="2"/>
        <v>EXECUTE [dbo].[PG_CI_UNIDAD_OPERATIVA] 0, 0, 10023, 'RZS - GAS Y SERVICIO', 'RZS - GAS Y SERVICIO', 'RZS - GAS ', 23000, 1, 50, 70, 0, 0, 23, 0, '', '', '', '', '', '', '', '', ''</v>
      </c>
      <c r="AK103" s="45" t="s">
        <v>27</v>
      </c>
    </row>
    <row r="104" spans="1:37" ht="14.4" x14ac:dyDescent="0.3">
      <c r="A104" s="44">
        <v>24</v>
      </c>
      <c r="B104" s="23">
        <v>0</v>
      </c>
      <c r="C104" s="23">
        <v>0</v>
      </c>
      <c r="D104" s="66">
        <f t="shared" si="4"/>
        <v>10024</v>
      </c>
      <c r="E104" s="67" t="str">
        <f t="shared" si="5"/>
        <v>RZS - ZARAGOZA OJINAGA (GAS)</v>
      </c>
      <c r="F104" s="59" t="str">
        <f t="shared" si="6"/>
        <v>RZS - ZARAGOZA OJINAGA (GAS)</v>
      </c>
      <c r="G104" s="41" t="str">
        <f t="shared" si="7"/>
        <v>RZS - ZARA</v>
      </c>
      <c r="H104" s="44">
        <f t="shared" si="8"/>
        <v>24000</v>
      </c>
      <c r="I104" s="44">
        <v>1</v>
      </c>
      <c r="J104" s="31" t="s">
        <v>293</v>
      </c>
      <c r="K104" s="58" t="s">
        <v>297</v>
      </c>
      <c r="L104" s="46">
        <v>0</v>
      </c>
      <c r="M104" s="31" t="s">
        <v>294</v>
      </c>
      <c r="N104" s="46">
        <f t="shared" si="9"/>
        <v>24</v>
      </c>
      <c r="O104" s="31" t="s">
        <v>294</v>
      </c>
      <c r="P104" s="39" t="s">
        <v>139</v>
      </c>
      <c r="Q104" s="39" t="s">
        <v>139</v>
      </c>
      <c r="R104" s="39" t="s">
        <v>139</v>
      </c>
      <c r="S104" s="39" t="s">
        <v>139</v>
      </c>
      <c r="T104" s="39" t="s">
        <v>139</v>
      </c>
      <c r="U104" s="39" t="s">
        <v>139</v>
      </c>
      <c r="V104" s="39" t="s">
        <v>139</v>
      </c>
      <c r="W104" s="39" t="s">
        <v>139</v>
      </c>
      <c r="X104" s="39" t="s">
        <v>139</v>
      </c>
      <c r="Z104" s="40" t="str">
        <f t="shared" si="2"/>
        <v>EXECUTE [dbo].[PG_CI_UNIDAD_OPERATIVA] 0, 0, 10024, 'RZS - ZARAGOZA OJINAGA (GAS)', 'RZS - ZARAGOZA OJINAGA (GAS)', 'RZS - ZARA', 24000, 1, 50, 30, 0, 0, 24, 0, '', '', '', '', '', '', '', '', ''</v>
      </c>
      <c r="AK104" s="45" t="s">
        <v>231</v>
      </c>
    </row>
    <row r="105" spans="1:37" ht="14.4" x14ac:dyDescent="0.3">
      <c r="A105" s="44">
        <v>25</v>
      </c>
      <c r="B105" s="23">
        <v>0</v>
      </c>
      <c r="C105" s="23">
        <v>0</v>
      </c>
      <c r="D105" s="66">
        <f t="shared" si="4"/>
        <v>10025</v>
      </c>
      <c r="E105" s="67" t="str">
        <f t="shared" si="5"/>
        <v>RZS - GASOMATICO</v>
      </c>
      <c r="F105" s="59" t="str">
        <f t="shared" si="6"/>
        <v>RZS - GASOMATICO</v>
      </c>
      <c r="G105" s="41" t="str">
        <f t="shared" si="7"/>
        <v>RZS - GASO</v>
      </c>
      <c r="H105" s="44">
        <f t="shared" si="8"/>
        <v>25000</v>
      </c>
      <c r="I105" s="44">
        <v>1</v>
      </c>
      <c r="J105" s="31" t="s">
        <v>293</v>
      </c>
      <c r="K105" s="55">
        <v>70</v>
      </c>
      <c r="L105" s="46">
        <v>0</v>
      </c>
      <c r="M105" s="31" t="s">
        <v>294</v>
      </c>
      <c r="N105" s="46">
        <f t="shared" si="9"/>
        <v>25</v>
      </c>
      <c r="O105" s="31" t="s">
        <v>294</v>
      </c>
      <c r="P105" s="39" t="s">
        <v>139</v>
      </c>
      <c r="Q105" s="39" t="s">
        <v>139</v>
      </c>
      <c r="R105" s="39" t="s">
        <v>139</v>
      </c>
      <c r="S105" s="39" t="s">
        <v>139</v>
      </c>
      <c r="T105" s="39" t="s">
        <v>139</v>
      </c>
      <c r="U105" s="39" t="s">
        <v>139</v>
      </c>
      <c r="V105" s="39" t="s">
        <v>139</v>
      </c>
      <c r="W105" s="39" t="s">
        <v>139</v>
      </c>
      <c r="X105" s="39" t="s">
        <v>139</v>
      </c>
      <c r="Z105" s="40" t="str">
        <f t="shared" si="2"/>
        <v>EXECUTE [dbo].[PG_CI_UNIDAD_OPERATIVA] 0, 0, 10025, 'RZS - GASOMATICO', 'RZS - GASOMATICO', 'RZS - GASO', 25000, 1, 50, 70, 0, 0, 25, 0, '', '', '', '', '', '', '', '', ''</v>
      </c>
      <c r="AK105" s="45" t="s">
        <v>28</v>
      </c>
    </row>
    <row r="106" spans="1:37" ht="14.4" x14ac:dyDescent="0.3">
      <c r="A106" s="44">
        <v>36</v>
      </c>
      <c r="B106" s="23">
        <v>0</v>
      </c>
      <c r="C106" s="23">
        <v>0</v>
      </c>
      <c r="D106" s="66">
        <f t="shared" si="4"/>
        <v>10036</v>
      </c>
      <c r="E106" s="67" t="str">
        <f t="shared" si="5"/>
        <v>RZS - HIDROGAS / AGUA PRIETA</v>
      </c>
      <c r="F106" s="59" t="str">
        <f t="shared" si="6"/>
        <v>RZS - HIDROGAS / AGUA PRIETA</v>
      </c>
      <c r="G106" s="41" t="str">
        <f t="shared" si="7"/>
        <v>RZS - HIDR</v>
      </c>
      <c r="H106" s="44">
        <f t="shared" si="8"/>
        <v>36000</v>
      </c>
      <c r="I106" s="44">
        <v>1</v>
      </c>
      <c r="J106" s="31" t="s">
        <v>293</v>
      </c>
      <c r="K106" s="58" t="s">
        <v>293</v>
      </c>
      <c r="L106" s="46">
        <v>0</v>
      </c>
      <c r="M106" s="31" t="s">
        <v>294</v>
      </c>
      <c r="N106" s="46">
        <f t="shared" si="9"/>
        <v>36</v>
      </c>
      <c r="O106" s="31" t="s">
        <v>294</v>
      </c>
      <c r="P106" s="39" t="s">
        <v>139</v>
      </c>
      <c r="Q106" s="39" t="s">
        <v>139</v>
      </c>
      <c r="R106" s="39" t="s">
        <v>139</v>
      </c>
      <c r="S106" s="39" t="s">
        <v>139</v>
      </c>
      <c r="T106" s="39" t="s">
        <v>139</v>
      </c>
      <c r="U106" s="39" t="s">
        <v>139</v>
      </c>
      <c r="V106" s="39" t="s">
        <v>139</v>
      </c>
      <c r="W106" s="39" t="s">
        <v>139</v>
      </c>
      <c r="X106" s="39" t="s">
        <v>139</v>
      </c>
      <c r="Z106" s="40" t="str">
        <f t="shared" si="2"/>
        <v>EXECUTE [dbo].[PG_CI_UNIDAD_OPERATIVA] 0, 0, 10036, 'RZS - HIDROGAS / AGUA PRIETA', 'RZS - HIDROGAS / AGUA PRIETA', 'RZS - HIDR', 36000, 1, 50, 50, 0, 0, 36, 0, '', '', '', '', '', '', '', '', ''</v>
      </c>
      <c r="AK106" s="45" t="s">
        <v>232</v>
      </c>
    </row>
    <row r="107" spans="1:37" ht="14.4" x14ac:dyDescent="0.3">
      <c r="A107" s="44">
        <v>26</v>
      </c>
      <c r="B107" s="23">
        <v>0</v>
      </c>
      <c r="C107" s="23">
        <v>0</v>
      </c>
      <c r="D107" s="66">
        <f t="shared" si="4"/>
        <v>10026</v>
      </c>
      <c r="E107" s="67" t="str">
        <f t="shared" si="5"/>
        <v>RZS - HIDROGAS / ACAPULCO</v>
      </c>
      <c r="F107" s="59" t="str">
        <f t="shared" si="6"/>
        <v>RZS - HIDROGAS / ACAPULCO</v>
      </c>
      <c r="G107" s="41" t="str">
        <f t="shared" si="7"/>
        <v>RZS - HIDR</v>
      </c>
      <c r="H107" s="44">
        <f t="shared" si="8"/>
        <v>26000</v>
      </c>
      <c r="I107" s="44">
        <v>1</v>
      </c>
      <c r="J107" s="31" t="s">
        <v>293</v>
      </c>
      <c r="K107" s="58" t="s">
        <v>296</v>
      </c>
      <c r="L107" s="46">
        <v>0</v>
      </c>
      <c r="M107" s="31" t="s">
        <v>294</v>
      </c>
      <c r="N107" s="46">
        <f t="shared" si="9"/>
        <v>26</v>
      </c>
      <c r="O107" s="31" t="s">
        <v>294</v>
      </c>
      <c r="P107" s="39" t="s">
        <v>139</v>
      </c>
      <c r="Q107" s="39" t="s">
        <v>139</v>
      </c>
      <c r="R107" s="39" t="s">
        <v>139</v>
      </c>
      <c r="S107" s="39" t="s">
        <v>139</v>
      </c>
      <c r="T107" s="39" t="s">
        <v>139</v>
      </c>
      <c r="U107" s="39" t="s">
        <v>139</v>
      </c>
      <c r="V107" s="39" t="s">
        <v>139</v>
      </c>
      <c r="W107" s="39" t="s">
        <v>139</v>
      </c>
      <c r="X107" s="39" t="s">
        <v>139</v>
      </c>
      <c r="Z107" s="40" t="str">
        <f t="shared" si="2"/>
        <v>EXECUTE [dbo].[PG_CI_UNIDAD_OPERATIVA] 0, 0, 10026, 'RZS - HIDROGAS / ACAPULCO', 'RZS - HIDROGAS / ACAPULCO', 'RZS - HIDR', 26000, 1, 50, 20, 0, 0, 26, 0, '', '', '', '', '', '', '', '', ''</v>
      </c>
      <c r="AK107" s="45" t="s">
        <v>233</v>
      </c>
    </row>
    <row r="108" spans="1:37" ht="14.4" x14ac:dyDescent="0.3">
      <c r="A108" s="44">
        <v>28</v>
      </c>
      <c r="B108" s="23">
        <v>0</v>
      </c>
      <c r="C108" s="23">
        <v>0</v>
      </c>
      <c r="D108" s="66">
        <f t="shared" si="4"/>
        <v>10028</v>
      </c>
      <c r="E108" s="67" t="str">
        <f t="shared" si="5"/>
        <v>RZS - HIDROGAS / CHIHUAHUA</v>
      </c>
      <c r="F108" s="59" t="str">
        <f t="shared" si="6"/>
        <v>RZS - HIDROGAS / CHIHUAHUA</v>
      </c>
      <c r="G108" s="41" t="str">
        <f t="shared" si="7"/>
        <v>RZS - HIDR</v>
      </c>
      <c r="H108" s="44">
        <f t="shared" si="8"/>
        <v>28000</v>
      </c>
      <c r="I108" s="44">
        <v>1</v>
      </c>
      <c r="J108" s="31" t="s">
        <v>293</v>
      </c>
      <c r="K108" s="58" t="s">
        <v>297</v>
      </c>
      <c r="L108" s="46">
        <v>0</v>
      </c>
      <c r="M108" s="31" t="s">
        <v>294</v>
      </c>
      <c r="N108" s="46">
        <f t="shared" si="9"/>
        <v>28</v>
      </c>
      <c r="O108" s="31" t="s">
        <v>294</v>
      </c>
      <c r="P108" s="39" t="s">
        <v>139</v>
      </c>
      <c r="Q108" s="39" t="s">
        <v>139</v>
      </c>
      <c r="R108" s="39" t="s">
        <v>139</v>
      </c>
      <c r="S108" s="39" t="s">
        <v>139</v>
      </c>
      <c r="T108" s="39" t="s">
        <v>139</v>
      </c>
      <c r="U108" s="39" t="s">
        <v>139</v>
      </c>
      <c r="V108" s="39" t="s">
        <v>139</v>
      </c>
      <c r="W108" s="39" t="s">
        <v>139</v>
      </c>
      <c r="X108" s="39" t="s">
        <v>139</v>
      </c>
      <c r="Z108" s="40" t="str">
        <f t="shared" si="2"/>
        <v>EXECUTE [dbo].[PG_CI_UNIDAD_OPERATIVA] 0, 0, 10028, 'RZS - HIDROGAS / CHIHUAHUA', 'RZS - HIDROGAS / CHIHUAHUA', 'RZS - HIDR', 28000, 1, 50, 30, 0, 0, 28, 0, '', '', '', '', '', '', '', '', ''</v>
      </c>
      <c r="AK108" s="45" t="s">
        <v>234</v>
      </c>
    </row>
    <row r="109" spans="1:37" ht="14.4" x14ac:dyDescent="0.3">
      <c r="A109" s="44">
        <v>47</v>
      </c>
      <c r="B109" s="23">
        <v>0</v>
      </c>
      <c r="C109" s="23">
        <v>0</v>
      </c>
      <c r="D109" s="66">
        <f t="shared" si="4"/>
        <v>10047</v>
      </c>
      <c r="E109" s="67" t="str">
        <f t="shared" si="5"/>
        <v xml:space="preserve">RZS - HOLBOX </v>
      </c>
      <c r="F109" s="59" t="str">
        <f t="shared" si="6"/>
        <v xml:space="preserve">RZS - HOLBOX </v>
      </c>
      <c r="G109" s="41" t="str">
        <f t="shared" si="7"/>
        <v>RZS - HOLB</v>
      </c>
      <c r="H109" s="44">
        <f t="shared" si="8"/>
        <v>47000</v>
      </c>
      <c r="I109" s="44">
        <v>1</v>
      </c>
      <c r="J109" s="31" t="s">
        <v>293</v>
      </c>
      <c r="K109" s="58" t="s">
        <v>299</v>
      </c>
      <c r="L109" s="46">
        <v>0</v>
      </c>
      <c r="M109" s="31" t="s">
        <v>294</v>
      </c>
      <c r="N109" s="46">
        <f t="shared" si="9"/>
        <v>47</v>
      </c>
      <c r="O109" s="31" t="s">
        <v>294</v>
      </c>
      <c r="P109" s="39" t="s">
        <v>139</v>
      </c>
      <c r="Q109" s="39" t="s">
        <v>139</v>
      </c>
      <c r="R109" s="39" t="s">
        <v>139</v>
      </c>
      <c r="S109" s="39" t="s">
        <v>139</v>
      </c>
      <c r="T109" s="39" t="s">
        <v>139</v>
      </c>
      <c r="U109" s="39" t="s">
        <v>139</v>
      </c>
      <c r="V109" s="39" t="s">
        <v>139</v>
      </c>
      <c r="W109" s="39" t="s">
        <v>139</v>
      </c>
      <c r="X109" s="39" t="s">
        <v>139</v>
      </c>
      <c r="Z109" s="40" t="str">
        <f t="shared" si="2"/>
        <v>EXECUTE [dbo].[PG_CI_UNIDAD_OPERATIVA] 0, 0, 10047, 'RZS - HOLBOX ', 'RZS - HOLBOX ', 'RZS - HOLB', 47000, 1, 50, 60, 0, 0, 47, 0, '', '', '', '', '', '', '', '', ''</v>
      </c>
      <c r="AK109" s="45" t="s">
        <v>235</v>
      </c>
    </row>
    <row r="110" spans="1:37" ht="14.4" hidden="1" x14ac:dyDescent="0.3">
      <c r="A110" s="44">
        <v>30</v>
      </c>
      <c r="B110" s="23">
        <v>0</v>
      </c>
      <c r="C110" s="23">
        <v>0</v>
      </c>
      <c r="D110" s="46">
        <f t="shared" si="4"/>
        <v>10030</v>
      </c>
      <c r="E110" s="65" t="str">
        <f t="shared" si="5"/>
        <v>RZS - INZA</v>
      </c>
      <c r="F110" s="59" t="str">
        <f t="shared" si="6"/>
        <v>RZS - INZA</v>
      </c>
      <c r="G110" s="41" t="str">
        <f t="shared" si="7"/>
        <v>RZS - INZA</v>
      </c>
      <c r="H110" s="44">
        <f t="shared" si="8"/>
        <v>30000</v>
      </c>
      <c r="I110" s="44">
        <v>1</v>
      </c>
      <c r="J110" s="31" t="s">
        <v>293</v>
      </c>
      <c r="K110" s="58" t="s">
        <v>300</v>
      </c>
      <c r="L110" s="46">
        <v>0</v>
      </c>
      <c r="M110" s="31" t="s">
        <v>294</v>
      </c>
      <c r="N110" s="46">
        <f t="shared" si="9"/>
        <v>30</v>
      </c>
      <c r="O110" s="31" t="s">
        <v>294</v>
      </c>
      <c r="P110" s="39" t="s">
        <v>139</v>
      </c>
      <c r="Q110" s="39" t="s">
        <v>139</v>
      </c>
      <c r="R110" s="39" t="s">
        <v>139</v>
      </c>
      <c r="S110" s="39" t="s">
        <v>139</v>
      </c>
      <c r="T110" s="39" t="s">
        <v>139</v>
      </c>
      <c r="U110" s="39" t="s">
        <v>139</v>
      </c>
      <c r="V110" s="39" t="s">
        <v>139</v>
      </c>
      <c r="W110" s="39" t="s">
        <v>139</v>
      </c>
      <c r="X110" s="39" t="s">
        <v>139</v>
      </c>
      <c r="Z110" s="40" t="str">
        <f t="shared" si="2"/>
        <v>EXECUTE [dbo].[PG_CI_UNIDAD_OPERATIVA] 0, 0, 10030, 'RZS - INZA', 'RZS - INZA', 'RZS - INZA', 30000, 1, 50, ?, 0, 0, 30, 0, '', '', '', '', '', '', '', '', ''</v>
      </c>
      <c r="AK110" s="45" t="s">
        <v>236</v>
      </c>
    </row>
    <row r="111" spans="1:37" ht="14.4" x14ac:dyDescent="0.3">
      <c r="A111" s="44">
        <v>65</v>
      </c>
      <c r="B111" s="23">
        <v>0</v>
      </c>
      <c r="C111" s="23">
        <v>0</v>
      </c>
      <c r="D111" s="66">
        <f t="shared" si="4"/>
        <v>10065</v>
      </c>
      <c r="E111" s="67" t="str">
        <f t="shared" si="5"/>
        <v>RZS - MAMEME (GAS)</v>
      </c>
      <c r="F111" s="59" t="str">
        <f t="shared" si="6"/>
        <v>RZS - MAMEME (GAS)</v>
      </c>
      <c r="G111" s="41" t="str">
        <f t="shared" si="7"/>
        <v>RZS - MAME</v>
      </c>
      <c r="H111" s="44">
        <f t="shared" si="8"/>
        <v>65000</v>
      </c>
      <c r="I111" s="44">
        <v>1</v>
      </c>
      <c r="J111" s="31" t="s">
        <v>293</v>
      </c>
      <c r="K111" s="58" t="s">
        <v>298</v>
      </c>
      <c r="L111" s="46">
        <v>0</v>
      </c>
      <c r="M111" s="31" t="s">
        <v>294</v>
      </c>
      <c r="N111" s="46">
        <f t="shared" si="9"/>
        <v>65</v>
      </c>
      <c r="O111" s="31" t="s">
        <v>294</v>
      </c>
      <c r="P111" s="39" t="s">
        <v>139</v>
      </c>
      <c r="Q111" s="39" t="s">
        <v>139</v>
      </c>
      <c r="R111" s="39" t="s">
        <v>139</v>
      </c>
      <c r="S111" s="39" t="s">
        <v>139</v>
      </c>
      <c r="T111" s="39" t="s">
        <v>139</v>
      </c>
      <c r="U111" s="39" t="s">
        <v>139</v>
      </c>
      <c r="V111" s="39" t="s">
        <v>139</v>
      </c>
      <c r="W111" s="39" t="s">
        <v>139</v>
      </c>
      <c r="X111" s="39" t="s">
        <v>139</v>
      </c>
      <c r="Z111" s="40" t="str">
        <f t="shared" si="2"/>
        <v>EXECUTE [dbo].[PG_CI_UNIDAD_OPERATIVA] 0, 0, 10065, 'RZS - MAMEME (GAS)', 'RZS - MAMEME (GAS)', 'RZS - MAME', 65000, 1, 50, 40, 0, 0, 65, 0, '', '', '', '', '', '', '', '', ''</v>
      </c>
      <c r="AK111" s="45" t="s">
        <v>237</v>
      </c>
    </row>
    <row r="112" spans="1:37" ht="14.4" x14ac:dyDescent="0.3">
      <c r="A112" s="44">
        <v>42</v>
      </c>
      <c r="B112" s="23">
        <v>0</v>
      </c>
      <c r="C112" s="23">
        <v>0</v>
      </c>
      <c r="D112" s="66">
        <f t="shared" si="4"/>
        <v>10042</v>
      </c>
      <c r="E112" s="67" t="str">
        <f t="shared" si="5"/>
        <v>RZS - UNIGAS</v>
      </c>
      <c r="F112" s="59" t="str">
        <f t="shared" si="6"/>
        <v>RZS - UNIGAS</v>
      </c>
      <c r="G112" s="41" t="str">
        <f t="shared" si="7"/>
        <v>RZS - UNIG</v>
      </c>
      <c r="H112" s="44">
        <f t="shared" si="8"/>
        <v>42000</v>
      </c>
      <c r="I112" s="44">
        <v>1</v>
      </c>
      <c r="J112" s="31" t="s">
        <v>293</v>
      </c>
      <c r="K112" s="55">
        <v>70</v>
      </c>
      <c r="L112" s="46">
        <v>0</v>
      </c>
      <c r="M112" s="31" t="s">
        <v>294</v>
      </c>
      <c r="N112" s="46">
        <f t="shared" si="9"/>
        <v>42</v>
      </c>
      <c r="O112" s="31" t="s">
        <v>294</v>
      </c>
      <c r="P112" s="39" t="s">
        <v>139</v>
      </c>
      <c r="Q112" s="39" t="s">
        <v>139</v>
      </c>
      <c r="R112" s="39" t="s">
        <v>139</v>
      </c>
      <c r="S112" s="39" t="s">
        <v>139</v>
      </c>
      <c r="T112" s="39" t="s">
        <v>139</v>
      </c>
      <c r="U112" s="39" t="s">
        <v>139</v>
      </c>
      <c r="V112" s="39" t="s">
        <v>139</v>
      </c>
      <c r="W112" s="39" t="s">
        <v>139</v>
      </c>
      <c r="X112" s="39" t="s">
        <v>139</v>
      </c>
      <c r="Z112" s="40" t="str">
        <f t="shared" si="2"/>
        <v>EXECUTE [dbo].[PG_CI_UNIDAD_OPERATIVA] 0, 0, 10042, 'RZS - UNIGAS', 'RZS - UNIGAS', 'RZS - UNIG', 42000, 1, 50, 70, 0, 0, 42, 0, '', '', '', '', '', '', '', '', ''</v>
      </c>
      <c r="AK112" s="45" t="s">
        <v>238</v>
      </c>
    </row>
    <row r="113" spans="1:37" ht="14.4" hidden="1" x14ac:dyDescent="0.3">
      <c r="A113" s="44">
        <v>1</v>
      </c>
      <c r="B113" s="23">
        <v>0</v>
      </c>
      <c r="C113" s="23">
        <v>0</v>
      </c>
      <c r="D113" s="46">
        <f t="shared" si="4"/>
        <v>10001</v>
      </c>
      <c r="E113" s="65" t="str">
        <f t="shared" si="5"/>
        <v>RZS - AEROSILZA</v>
      </c>
      <c r="F113" s="59" t="str">
        <f t="shared" si="6"/>
        <v>RZS - AEROSILZA</v>
      </c>
      <c r="G113" s="41" t="str">
        <f t="shared" si="7"/>
        <v>RZS - AERO</v>
      </c>
      <c r="H113" s="44">
        <f t="shared" si="8"/>
        <v>1000</v>
      </c>
      <c r="I113" s="44">
        <v>1</v>
      </c>
      <c r="J113" s="31" t="s">
        <v>293</v>
      </c>
      <c r="K113" s="58" t="s">
        <v>300</v>
      </c>
      <c r="L113" s="46">
        <v>0</v>
      </c>
      <c r="M113" s="31" t="s">
        <v>294</v>
      </c>
      <c r="N113" s="46">
        <f t="shared" si="9"/>
        <v>1</v>
      </c>
      <c r="O113" s="31" t="s">
        <v>294</v>
      </c>
      <c r="P113" s="39" t="s">
        <v>139</v>
      </c>
      <c r="Q113" s="39" t="s">
        <v>139</v>
      </c>
      <c r="R113" s="39" t="s">
        <v>139</v>
      </c>
      <c r="S113" s="39" t="s">
        <v>139</v>
      </c>
      <c r="T113" s="39" t="s">
        <v>139</v>
      </c>
      <c r="U113" s="39" t="s">
        <v>139</v>
      </c>
      <c r="V113" s="39" t="s">
        <v>139</v>
      </c>
      <c r="W113" s="39" t="s">
        <v>139</v>
      </c>
      <c r="X113" s="39" t="s">
        <v>139</v>
      </c>
      <c r="Z113" s="40" t="str">
        <f t="shared" si="2"/>
        <v>EXECUTE [dbo].[PG_CI_UNIDAD_OPERATIVA] 0, 0, 10001, 'RZS - AEROSILZA', 'RZS - AEROSILZA', 'RZS - AERO', 1000, 1, 50, ?, 0, 0, 1, 0, '', '', '', '', '', '', '', '', ''</v>
      </c>
      <c r="AK113" t="s">
        <v>239</v>
      </c>
    </row>
    <row r="114" spans="1:37" ht="14.4" hidden="1" x14ac:dyDescent="0.3">
      <c r="A114" s="44">
        <v>2</v>
      </c>
      <c r="B114" s="23">
        <v>0</v>
      </c>
      <c r="C114" s="23">
        <v>0</v>
      </c>
      <c r="D114" s="46">
        <f t="shared" si="4"/>
        <v>10002</v>
      </c>
      <c r="E114" s="65" t="str">
        <f t="shared" si="5"/>
        <v>RZS - AEROTOMZA</v>
      </c>
      <c r="F114" s="59" t="str">
        <f t="shared" si="6"/>
        <v>RZS - AEROTOMZA</v>
      </c>
      <c r="G114" s="41" t="str">
        <f t="shared" si="7"/>
        <v>RZS - AERO</v>
      </c>
      <c r="H114" s="44">
        <f t="shared" si="8"/>
        <v>2000</v>
      </c>
      <c r="I114" s="44">
        <v>1</v>
      </c>
      <c r="J114" s="31" t="s">
        <v>293</v>
      </c>
      <c r="K114" s="58" t="s">
        <v>300</v>
      </c>
      <c r="L114" s="46">
        <v>0</v>
      </c>
      <c r="M114" s="31" t="s">
        <v>294</v>
      </c>
      <c r="N114" s="46">
        <f t="shared" si="9"/>
        <v>2</v>
      </c>
      <c r="O114" s="31" t="s">
        <v>294</v>
      </c>
      <c r="P114" s="39" t="s">
        <v>139</v>
      </c>
      <c r="Q114" s="39" t="s">
        <v>139</v>
      </c>
      <c r="R114" s="39" t="s">
        <v>139</v>
      </c>
      <c r="S114" s="39" t="s">
        <v>139</v>
      </c>
      <c r="T114" s="39" t="s">
        <v>139</v>
      </c>
      <c r="U114" s="39" t="s">
        <v>139</v>
      </c>
      <c r="V114" s="39" t="s">
        <v>139</v>
      </c>
      <c r="W114" s="39" t="s">
        <v>139</v>
      </c>
      <c r="X114" s="39" t="s">
        <v>139</v>
      </c>
      <c r="Z114" s="40" t="str">
        <f t="shared" si="2"/>
        <v>EXECUTE [dbo].[PG_CI_UNIDAD_OPERATIVA] 0, 0, 10002, 'RZS - AEROTOMZA', 'RZS - AEROTOMZA', 'RZS - AERO', 2000, 1, 50, ?, 0, 0, 2, 0, '', '', '', '', '', '', '', '', ''</v>
      </c>
      <c r="AK114" t="s">
        <v>240</v>
      </c>
    </row>
    <row r="115" spans="1:37" ht="14.4" hidden="1" x14ac:dyDescent="0.3">
      <c r="A115" s="44">
        <v>3</v>
      </c>
      <c r="B115" s="23">
        <v>0</v>
      </c>
      <c r="C115" s="23">
        <v>0</v>
      </c>
      <c r="D115" s="46">
        <f t="shared" si="4"/>
        <v>10003</v>
      </c>
      <c r="E115" s="65" t="str">
        <f t="shared" si="5"/>
        <v>RZS - APPLEMEX</v>
      </c>
      <c r="F115" s="59" t="str">
        <f t="shared" si="6"/>
        <v>RZS - APPLEMEX</v>
      </c>
      <c r="G115" s="41" t="str">
        <f t="shared" si="7"/>
        <v>RZS - APPL</v>
      </c>
      <c r="H115" s="44">
        <f t="shared" si="8"/>
        <v>3000</v>
      </c>
      <c r="I115" s="44">
        <v>1</v>
      </c>
      <c r="J115" s="31" t="s">
        <v>293</v>
      </c>
      <c r="K115" s="58" t="s">
        <v>300</v>
      </c>
      <c r="L115" s="46">
        <v>0</v>
      </c>
      <c r="M115" s="31" t="s">
        <v>294</v>
      </c>
      <c r="N115" s="46">
        <f t="shared" si="9"/>
        <v>3</v>
      </c>
      <c r="O115" s="31" t="s">
        <v>294</v>
      </c>
      <c r="P115" s="39" t="s">
        <v>139</v>
      </c>
      <c r="Q115" s="39" t="s">
        <v>139</v>
      </c>
      <c r="R115" s="39" t="s">
        <v>139</v>
      </c>
      <c r="S115" s="39" t="s">
        <v>139</v>
      </c>
      <c r="T115" s="39" t="s">
        <v>139</v>
      </c>
      <c r="U115" s="39" t="s">
        <v>139</v>
      </c>
      <c r="V115" s="39" t="s">
        <v>139</v>
      </c>
      <c r="W115" s="39" t="s">
        <v>139</v>
      </c>
      <c r="X115" s="39" t="s">
        <v>139</v>
      </c>
      <c r="Z115" s="40" t="str">
        <f t="shared" si="2"/>
        <v>EXECUTE [dbo].[PG_CI_UNIDAD_OPERATIVA] 0, 0, 10003, 'RZS - APPLEMEX', 'RZS - APPLEMEX', 'RZS - APPL', 3000, 1, 50, ?, 0, 0, 3, 0, '', '', '', '', '', '', '', '', ''</v>
      </c>
      <c r="AK115" t="s">
        <v>241</v>
      </c>
    </row>
    <row r="116" spans="1:37" ht="14.4" hidden="1" x14ac:dyDescent="0.3">
      <c r="A116" s="44">
        <v>4</v>
      </c>
      <c r="B116" s="23">
        <v>0</v>
      </c>
      <c r="C116" s="23">
        <v>0</v>
      </c>
      <c r="D116" s="46">
        <f t="shared" si="4"/>
        <v>10004</v>
      </c>
      <c r="E116" s="65" t="str">
        <f t="shared" si="5"/>
        <v>RZS - ASPTA</v>
      </c>
      <c r="F116" s="59" t="str">
        <f t="shared" si="6"/>
        <v>RZS - ASPTA</v>
      </c>
      <c r="G116" s="41" t="str">
        <f t="shared" si="7"/>
        <v>RZS - ASPT</v>
      </c>
      <c r="H116" s="44">
        <f t="shared" si="8"/>
        <v>4000</v>
      </c>
      <c r="I116" s="44">
        <v>1</v>
      </c>
      <c r="J116" s="31" t="s">
        <v>293</v>
      </c>
      <c r="K116" s="58" t="s">
        <v>300</v>
      </c>
      <c r="L116" s="46">
        <v>0</v>
      </c>
      <c r="M116" s="31" t="s">
        <v>294</v>
      </c>
      <c r="N116" s="46">
        <f t="shared" si="9"/>
        <v>4</v>
      </c>
      <c r="O116" s="31" t="s">
        <v>294</v>
      </c>
      <c r="P116" s="39" t="s">
        <v>139</v>
      </c>
      <c r="Q116" s="39" t="s">
        <v>139</v>
      </c>
      <c r="R116" s="39" t="s">
        <v>139</v>
      </c>
      <c r="S116" s="39" t="s">
        <v>139</v>
      </c>
      <c r="T116" s="39" t="s">
        <v>139</v>
      </c>
      <c r="U116" s="39" t="s">
        <v>139</v>
      </c>
      <c r="V116" s="39" t="s">
        <v>139</v>
      </c>
      <c r="W116" s="39" t="s">
        <v>139</v>
      </c>
      <c r="X116" s="39" t="s">
        <v>139</v>
      </c>
      <c r="Z116" s="40" t="str">
        <f t="shared" si="2"/>
        <v>EXECUTE [dbo].[PG_CI_UNIDAD_OPERATIVA] 0, 0, 10004, 'RZS - ASPTA', 'RZS - ASPTA', 'RZS - ASPT', 4000, 1, 50, ?, 0, 0, 4, 0, '', '', '', '', '', '', '', '', ''</v>
      </c>
      <c r="AK116" t="s">
        <v>242</v>
      </c>
    </row>
    <row r="117" spans="1:37" ht="14.4" hidden="1" x14ac:dyDescent="0.3">
      <c r="A117" s="44">
        <v>5</v>
      </c>
      <c r="B117" s="23">
        <v>0</v>
      </c>
      <c r="C117" s="23">
        <v>0</v>
      </c>
      <c r="D117" s="46">
        <f t="shared" si="4"/>
        <v>10005</v>
      </c>
      <c r="E117" s="65" t="str">
        <f t="shared" si="5"/>
        <v>RZS - COLECCION ARTISTICA SILZA</v>
      </c>
      <c r="F117" s="59" t="str">
        <f t="shared" si="6"/>
        <v>RZS - COLECCION ARTISTICA SILZA</v>
      </c>
      <c r="G117" s="41" t="str">
        <f t="shared" si="7"/>
        <v>RZS - COLE</v>
      </c>
      <c r="H117" s="44">
        <f t="shared" si="8"/>
        <v>5000</v>
      </c>
      <c r="I117" s="44">
        <v>1</v>
      </c>
      <c r="J117" s="31" t="s">
        <v>293</v>
      </c>
      <c r="K117" s="58" t="s">
        <v>300</v>
      </c>
      <c r="L117" s="46">
        <v>0</v>
      </c>
      <c r="M117" s="31" t="s">
        <v>294</v>
      </c>
      <c r="N117" s="46">
        <f t="shared" si="9"/>
        <v>5</v>
      </c>
      <c r="O117" s="31" t="s">
        <v>294</v>
      </c>
      <c r="P117" s="39" t="s">
        <v>139</v>
      </c>
      <c r="Q117" s="39" t="s">
        <v>139</v>
      </c>
      <c r="R117" s="39" t="s">
        <v>139</v>
      </c>
      <c r="S117" s="39" t="s">
        <v>139</v>
      </c>
      <c r="T117" s="39" t="s">
        <v>139</v>
      </c>
      <c r="U117" s="39" t="s">
        <v>139</v>
      </c>
      <c r="V117" s="39" t="s">
        <v>139</v>
      </c>
      <c r="W117" s="39" t="s">
        <v>139</v>
      </c>
      <c r="X117" s="39" t="s">
        <v>139</v>
      </c>
      <c r="Z117" s="40" t="str">
        <f t="shared" si="2"/>
        <v>EXECUTE [dbo].[PG_CI_UNIDAD_OPERATIVA] 0, 0, 10005, 'RZS - COLECCION ARTISTICA SILZA', 'RZS - COLECCION ARTISTICA SILZA', 'RZS - COLE', 5000, 1, 50, ?, 0, 0, 5, 0, '', '', '', '', '', '', '', '', ''</v>
      </c>
      <c r="AK117" t="s">
        <v>243</v>
      </c>
    </row>
    <row r="118" spans="1:37" ht="14.4" x14ac:dyDescent="0.3">
      <c r="A118" s="44">
        <v>7</v>
      </c>
      <c r="B118" s="23">
        <v>0</v>
      </c>
      <c r="C118" s="23">
        <v>0</v>
      </c>
      <c r="D118" s="66">
        <f t="shared" si="4"/>
        <v>10007</v>
      </c>
      <c r="E118" s="67" t="str">
        <f t="shared" si="5"/>
        <v>RZS - COMPAÑIA MEXICANA DE GAS COMBUSTIBLE S.A. DE C.V. TEHUACAN</v>
      </c>
      <c r="F118" s="59" t="str">
        <f t="shared" si="6"/>
        <v>RZS - COMPAÑIA MEXICANA DE GAS COMBUSTIBLE S.A. DE C.V. TEHUACAN</v>
      </c>
      <c r="G118" s="41" t="str">
        <f t="shared" si="7"/>
        <v>RZS - COMP</v>
      </c>
      <c r="H118" s="44">
        <f t="shared" si="8"/>
        <v>7000</v>
      </c>
      <c r="I118" s="44">
        <v>1</v>
      </c>
      <c r="J118" s="31" t="s">
        <v>293</v>
      </c>
      <c r="K118" s="58" t="s">
        <v>296</v>
      </c>
      <c r="L118" s="46">
        <v>0</v>
      </c>
      <c r="M118" s="31" t="s">
        <v>294</v>
      </c>
      <c r="N118" s="46">
        <f t="shared" si="9"/>
        <v>7</v>
      </c>
      <c r="O118" s="31" t="s">
        <v>294</v>
      </c>
      <c r="P118" s="39" t="s">
        <v>139</v>
      </c>
      <c r="Q118" s="39" t="s">
        <v>139</v>
      </c>
      <c r="R118" s="39" t="s">
        <v>139</v>
      </c>
      <c r="S118" s="39" t="s">
        <v>139</v>
      </c>
      <c r="T118" s="39" t="s">
        <v>139</v>
      </c>
      <c r="U118" s="39" t="s">
        <v>139</v>
      </c>
      <c r="V118" s="39" t="s">
        <v>139</v>
      </c>
      <c r="W118" s="39" t="s">
        <v>139</v>
      </c>
      <c r="X118" s="39" t="s">
        <v>139</v>
      </c>
      <c r="Z118" s="40" t="str">
        <f t="shared" si="2"/>
        <v>EXECUTE [dbo].[PG_CI_UNIDAD_OPERATIVA] 0, 0, 10007, 'RZS - COMPAÑIA MEXICANA DE GAS COMBUSTIBLE S.A. DE C.V. TEHUACAN', 'RZS - COMPAÑIA MEXICANA DE GAS COMBUSTIBLE S.A. DE C.V. TEHUACAN', 'RZS - COMP', 7000, 1, 50, 20, 0, 0, 7, 0, '', '', '', '', '', '', '', '', ''</v>
      </c>
      <c r="AK118" t="s">
        <v>244</v>
      </c>
    </row>
    <row r="119" spans="1:37" ht="14.4" hidden="1" x14ac:dyDescent="0.3">
      <c r="A119" s="44">
        <v>8</v>
      </c>
      <c r="B119" s="23">
        <v>0</v>
      </c>
      <c r="C119" s="23">
        <v>0</v>
      </c>
      <c r="D119" s="46">
        <f t="shared" si="4"/>
        <v>10008</v>
      </c>
      <c r="E119" s="65" t="str">
        <f t="shared" si="5"/>
        <v>RZS - DESARROLLOS ESMERALDA</v>
      </c>
      <c r="F119" s="59" t="str">
        <f t="shared" si="6"/>
        <v>RZS - DESARROLLOS ESMERALDA</v>
      </c>
      <c r="G119" s="41" t="str">
        <f t="shared" si="7"/>
        <v>RZS - DESA</v>
      </c>
      <c r="H119" s="44">
        <f t="shared" si="8"/>
        <v>8000</v>
      </c>
      <c r="I119" s="44">
        <v>1</v>
      </c>
      <c r="J119" s="31" t="s">
        <v>293</v>
      </c>
      <c r="K119" s="58" t="s">
        <v>300</v>
      </c>
      <c r="L119" s="46">
        <v>0</v>
      </c>
      <c r="M119" s="31" t="s">
        <v>294</v>
      </c>
      <c r="N119" s="46">
        <f t="shared" si="9"/>
        <v>8</v>
      </c>
      <c r="O119" s="31" t="s">
        <v>294</v>
      </c>
      <c r="P119" s="39" t="s">
        <v>139</v>
      </c>
      <c r="Q119" s="39" t="s">
        <v>139</v>
      </c>
      <c r="R119" s="39" t="s">
        <v>139</v>
      </c>
      <c r="S119" s="39" t="s">
        <v>139</v>
      </c>
      <c r="T119" s="39" t="s">
        <v>139</v>
      </c>
      <c r="U119" s="39" t="s">
        <v>139</v>
      </c>
      <c r="V119" s="39" t="s">
        <v>139</v>
      </c>
      <c r="W119" s="39" t="s">
        <v>139</v>
      </c>
      <c r="X119" s="39" t="s">
        <v>139</v>
      </c>
      <c r="Z119" s="40" t="str">
        <f t="shared" si="2"/>
        <v>EXECUTE [dbo].[PG_CI_UNIDAD_OPERATIVA] 0, 0, 10008, 'RZS - DESARROLLOS ESMERALDA', 'RZS - DESARROLLOS ESMERALDA', 'RZS - DESA', 8000, 1, 50, ?, 0, 0, 8, 0, '', '', '', '', '', '', '', '', ''</v>
      </c>
      <c r="AK119" t="s">
        <v>245</v>
      </c>
    </row>
    <row r="120" spans="1:37" ht="14.4" hidden="1" x14ac:dyDescent="0.3">
      <c r="A120" s="44">
        <v>9</v>
      </c>
      <c r="B120" s="23">
        <v>0</v>
      </c>
      <c r="C120" s="23">
        <v>0</v>
      </c>
      <c r="D120" s="46">
        <f t="shared" si="4"/>
        <v>10009</v>
      </c>
      <c r="E120" s="65" t="str">
        <f t="shared" si="5"/>
        <v>RZS - ESTACIONES SERVICIO SILZA</v>
      </c>
      <c r="F120" s="59" t="str">
        <f t="shared" si="6"/>
        <v>RZS - ESTACIONES SERVICIO SILZA</v>
      </c>
      <c r="G120" s="41" t="str">
        <f t="shared" si="7"/>
        <v>RZS - ESTA</v>
      </c>
      <c r="H120" s="44">
        <f t="shared" si="8"/>
        <v>9000</v>
      </c>
      <c r="I120" s="44">
        <v>1</v>
      </c>
      <c r="J120" s="31" t="s">
        <v>293</v>
      </c>
      <c r="K120" s="58" t="s">
        <v>300</v>
      </c>
      <c r="L120" s="46">
        <v>0</v>
      </c>
      <c r="M120" s="31" t="s">
        <v>294</v>
      </c>
      <c r="N120" s="46">
        <f t="shared" si="9"/>
        <v>9</v>
      </c>
      <c r="O120" s="31" t="s">
        <v>294</v>
      </c>
      <c r="P120" s="39" t="s">
        <v>139</v>
      </c>
      <c r="Q120" s="39" t="s">
        <v>139</v>
      </c>
      <c r="R120" s="39" t="s">
        <v>139</v>
      </c>
      <c r="S120" s="39" t="s">
        <v>139</v>
      </c>
      <c r="T120" s="39" t="s">
        <v>139</v>
      </c>
      <c r="U120" s="39" t="s">
        <v>139</v>
      </c>
      <c r="V120" s="39" t="s">
        <v>139</v>
      </c>
      <c r="W120" s="39" t="s">
        <v>139</v>
      </c>
      <c r="X120" s="39" t="s">
        <v>139</v>
      </c>
      <c r="Z120" s="40" t="str">
        <f t="shared" si="2"/>
        <v>EXECUTE [dbo].[PG_CI_UNIDAD_OPERATIVA] 0, 0, 10009, 'RZS - ESTACIONES SERVICIO SILZA', 'RZS - ESTACIONES SERVICIO SILZA', 'RZS - ESTA', 9000, 1, 50, ?, 0, 0, 9, 0, '', '', '', '', '', '', '', '', ''</v>
      </c>
      <c r="AK120" t="s">
        <v>246</v>
      </c>
    </row>
    <row r="121" spans="1:37" ht="14.4" hidden="1" x14ac:dyDescent="0.3">
      <c r="A121" s="44">
        <v>14</v>
      </c>
      <c r="B121" s="23">
        <v>0</v>
      </c>
      <c r="C121" s="23">
        <v>0</v>
      </c>
      <c r="D121" s="46">
        <f t="shared" si="4"/>
        <v>10014</v>
      </c>
      <c r="E121" s="65" t="str">
        <f t="shared" si="5"/>
        <v>RZS - DEL PACIFICO (GAS)</v>
      </c>
      <c r="F121" s="59" t="str">
        <f t="shared" si="6"/>
        <v>RZS - DEL PACIFICO (GAS)</v>
      </c>
      <c r="G121" s="41" t="str">
        <f t="shared" si="7"/>
        <v xml:space="preserve">RZS - DEL </v>
      </c>
      <c r="H121" s="44">
        <f t="shared" si="8"/>
        <v>14000</v>
      </c>
      <c r="I121" s="44">
        <v>1</v>
      </c>
      <c r="J121" s="31" t="s">
        <v>293</v>
      </c>
      <c r="K121" s="58" t="s">
        <v>98</v>
      </c>
      <c r="L121" s="46">
        <v>0</v>
      </c>
      <c r="M121" s="31" t="s">
        <v>294</v>
      </c>
      <c r="N121" s="46">
        <f t="shared" si="9"/>
        <v>14</v>
      </c>
      <c r="O121" s="31" t="s">
        <v>294</v>
      </c>
      <c r="P121" s="39" t="s">
        <v>139</v>
      </c>
      <c r="Q121" s="39" t="s">
        <v>139</v>
      </c>
      <c r="R121" s="39" t="s">
        <v>139</v>
      </c>
      <c r="S121" s="39" t="s">
        <v>139</v>
      </c>
      <c r="T121" s="39" t="s">
        <v>139</v>
      </c>
      <c r="U121" s="39" t="s">
        <v>139</v>
      </c>
      <c r="V121" s="39" t="s">
        <v>139</v>
      </c>
      <c r="W121" s="39" t="s">
        <v>139</v>
      </c>
      <c r="X121" s="39" t="s">
        <v>139</v>
      </c>
      <c r="Z121" s="40" t="str">
        <f t="shared" si="2"/>
        <v>EXECUTE [dbo].[PG_CI_UNIDAD_OPERATIVA] 0, 0, 10014, 'RZS - DEL PACIFICO (GAS)', 'RZS - DEL PACIFICO (GAS)', 'RZS - DEL ', 14000, 1, 50, X, 0, 0, 14, 0, '', '', '', '', '', '', '', '', ''</v>
      </c>
      <c r="AK121" t="s">
        <v>247</v>
      </c>
    </row>
    <row r="122" spans="1:37" ht="14.4" hidden="1" x14ac:dyDescent="0.3">
      <c r="A122" s="44">
        <v>17</v>
      </c>
      <c r="B122" s="23">
        <v>0</v>
      </c>
      <c r="C122" s="23">
        <v>0</v>
      </c>
      <c r="D122" s="46">
        <f t="shared" si="4"/>
        <v>10017</v>
      </c>
      <c r="E122" s="65" t="str">
        <f t="shared" si="5"/>
        <v>RZS - SILZA DE MEXICO (GAS)</v>
      </c>
      <c r="F122" s="59" t="str">
        <f t="shared" si="6"/>
        <v>RZS - SILZA DE MEXICO (GAS)</v>
      </c>
      <c r="G122" s="41" t="str">
        <f t="shared" si="7"/>
        <v>RZS - SILZ</v>
      </c>
      <c r="H122" s="44">
        <f t="shared" si="8"/>
        <v>17000</v>
      </c>
      <c r="I122" s="44">
        <v>1</v>
      </c>
      <c r="J122" s="31" t="s">
        <v>293</v>
      </c>
      <c r="K122" s="58" t="s">
        <v>98</v>
      </c>
      <c r="L122" s="46">
        <v>0</v>
      </c>
      <c r="M122" s="31" t="s">
        <v>294</v>
      </c>
      <c r="N122" s="46">
        <f t="shared" si="9"/>
        <v>17</v>
      </c>
      <c r="O122" s="31" t="s">
        <v>294</v>
      </c>
      <c r="P122" s="39" t="s">
        <v>139</v>
      </c>
      <c r="Q122" s="39" t="s">
        <v>139</v>
      </c>
      <c r="R122" s="39" t="s">
        <v>139</v>
      </c>
      <c r="S122" s="39" t="s">
        <v>139</v>
      </c>
      <c r="T122" s="39" t="s">
        <v>139</v>
      </c>
      <c r="U122" s="39" t="s">
        <v>139</v>
      </c>
      <c r="V122" s="39" t="s">
        <v>139</v>
      </c>
      <c r="W122" s="39" t="s">
        <v>139</v>
      </c>
      <c r="X122" s="39" t="s">
        <v>139</v>
      </c>
      <c r="Z122" s="40" t="str">
        <f t="shared" si="2"/>
        <v>EXECUTE [dbo].[PG_CI_UNIDAD_OPERATIVA] 0, 0, 10017, 'RZS - SILZA DE MEXICO (GAS)', 'RZS - SILZA DE MEXICO (GAS)', 'RZS - SILZ', 17000, 1, 50, X, 0, 0, 17, 0, '', '', '', '', '', '', '', '', ''</v>
      </c>
      <c r="AK122" t="s">
        <v>248</v>
      </c>
    </row>
    <row r="123" spans="1:37" ht="14.4" hidden="1" x14ac:dyDescent="0.3">
      <c r="A123" s="44">
        <v>18</v>
      </c>
      <c r="B123" s="23">
        <v>0</v>
      </c>
      <c r="C123" s="23">
        <v>0</v>
      </c>
      <c r="D123" s="46">
        <f t="shared" si="4"/>
        <v>10018</v>
      </c>
      <c r="E123" s="65" t="str">
        <f t="shared" si="5"/>
        <v>RZS - TOMZA DE LA LAGUNA (GAS)</v>
      </c>
      <c r="F123" s="59" t="str">
        <f t="shared" si="6"/>
        <v>RZS - TOMZA DE LA LAGUNA (GAS)</v>
      </c>
      <c r="G123" s="41" t="str">
        <f t="shared" si="7"/>
        <v>RZS - TOMZ</v>
      </c>
      <c r="H123" s="44">
        <f t="shared" si="8"/>
        <v>18000</v>
      </c>
      <c r="I123" s="44">
        <v>1</v>
      </c>
      <c r="J123" s="31" t="s">
        <v>293</v>
      </c>
      <c r="K123" s="58" t="s">
        <v>98</v>
      </c>
      <c r="L123" s="46">
        <v>0</v>
      </c>
      <c r="M123" s="31" t="s">
        <v>294</v>
      </c>
      <c r="N123" s="46">
        <f t="shared" si="9"/>
        <v>18</v>
      </c>
      <c r="O123" s="31" t="s">
        <v>294</v>
      </c>
      <c r="P123" s="39" t="s">
        <v>139</v>
      </c>
      <c r="Q123" s="39" t="s">
        <v>139</v>
      </c>
      <c r="R123" s="39" t="s">
        <v>139</v>
      </c>
      <c r="S123" s="39" t="s">
        <v>139</v>
      </c>
      <c r="T123" s="39" t="s">
        <v>139</v>
      </c>
      <c r="U123" s="39" t="s">
        <v>139</v>
      </c>
      <c r="V123" s="39" t="s">
        <v>139</v>
      </c>
      <c r="W123" s="39" t="s">
        <v>139</v>
      </c>
      <c r="X123" s="39" t="s">
        <v>139</v>
      </c>
      <c r="Z123" s="40" t="str">
        <f t="shared" si="2"/>
        <v>EXECUTE [dbo].[PG_CI_UNIDAD_OPERATIVA] 0, 0, 10018, 'RZS - TOMZA DE LA LAGUNA (GAS)', 'RZS - TOMZA DE LA LAGUNA (GAS)', 'RZS - TOMZ', 18000, 1, 50, X, 0, 0, 18, 0, '', '', '', '', '', '', '', '', ''</v>
      </c>
      <c r="AK123" t="s">
        <v>249</v>
      </c>
    </row>
    <row r="124" spans="1:37" ht="14.4" hidden="1" x14ac:dyDescent="0.3">
      <c r="A124" s="44">
        <v>20</v>
      </c>
      <c r="B124" s="23">
        <v>0</v>
      </c>
      <c r="C124" s="23">
        <v>0</v>
      </c>
      <c r="D124" s="46">
        <f t="shared" si="4"/>
        <v>10020</v>
      </c>
      <c r="E124" s="65" t="str">
        <f t="shared" si="5"/>
        <v>RZS - TOMZA DEL CARIBE (GAS)</v>
      </c>
      <c r="F124" s="59" t="str">
        <f t="shared" si="6"/>
        <v>RZS - TOMZA DEL CARIBE (GAS)</v>
      </c>
      <c r="G124" s="41" t="str">
        <f t="shared" si="7"/>
        <v>RZS - TOMZ</v>
      </c>
      <c r="H124" s="44">
        <f t="shared" si="8"/>
        <v>20000</v>
      </c>
      <c r="I124" s="44">
        <v>1</v>
      </c>
      <c r="J124" s="31" t="s">
        <v>293</v>
      </c>
      <c r="K124" s="58" t="s">
        <v>98</v>
      </c>
      <c r="L124" s="46">
        <v>0</v>
      </c>
      <c r="M124" s="31" t="s">
        <v>294</v>
      </c>
      <c r="N124" s="46">
        <f t="shared" si="9"/>
        <v>20</v>
      </c>
      <c r="O124" s="31" t="s">
        <v>294</v>
      </c>
      <c r="P124" s="39" t="s">
        <v>139</v>
      </c>
      <c r="Q124" s="39" t="s">
        <v>139</v>
      </c>
      <c r="R124" s="39" t="s">
        <v>139</v>
      </c>
      <c r="S124" s="39" t="s">
        <v>139</v>
      </c>
      <c r="T124" s="39" t="s">
        <v>139</v>
      </c>
      <c r="U124" s="39" t="s">
        <v>139</v>
      </c>
      <c r="V124" s="39" t="s">
        <v>139</v>
      </c>
      <c r="W124" s="39" t="s">
        <v>139</v>
      </c>
      <c r="X124" s="39" t="s">
        <v>139</v>
      </c>
      <c r="Z124" s="40" t="str">
        <f t="shared" si="2"/>
        <v>EXECUTE [dbo].[PG_CI_UNIDAD_OPERATIVA] 0, 0, 10020, 'RZS - TOMZA DEL CARIBE (GAS)', 'RZS - TOMZA DEL CARIBE (GAS)', 'RZS - TOMZ', 20000, 1, 50, X, 0, 0, 20, 0, '', '', '', '', '', '', '', '', ''</v>
      </c>
      <c r="AK124" t="s">
        <v>250</v>
      </c>
    </row>
    <row r="125" spans="1:37" ht="14.4" hidden="1" x14ac:dyDescent="0.3">
      <c r="A125" s="44">
        <v>22</v>
      </c>
      <c r="B125" s="23">
        <v>0</v>
      </c>
      <c r="C125" s="23">
        <v>0</v>
      </c>
      <c r="D125" s="46">
        <f t="shared" si="4"/>
        <v>10022</v>
      </c>
      <c r="E125" s="65" t="str">
        <f t="shared" si="5"/>
        <v>RZS - VEHICULAR SILZA (GAS)</v>
      </c>
      <c r="F125" s="59" t="str">
        <f t="shared" si="6"/>
        <v>RZS - VEHICULAR SILZA (GAS)</v>
      </c>
      <c r="G125" s="41" t="str">
        <f t="shared" si="7"/>
        <v>RZS - VEHI</v>
      </c>
      <c r="H125" s="44">
        <f t="shared" si="8"/>
        <v>22000</v>
      </c>
      <c r="I125" s="44">
        <v>1</v>
      </c>
      <c r="J125" s="31" t="s">
        <v>293</v>
      </c>
      <c r="K125" s="58" t="s">
        <v>98</v>
      </c>
      <c r="L125" s="46">
        <v>0</v>
      </c>
      <c r="M125" s="31" t="s">
        <v>294</v>
      </c>
      <c r="N125" s="46">
        <f t="shared" si="9"/>
        <v>22</v>
      </c>
      <c r="O125" s="31" t="s">
        <v>294</v>
      </c>
      <c r="P125" s="39" t="s">
        <v>139</v>
      </c>
      <c r="Q125" s="39" t="s">
        <v>139</v>
      </c>
      <c r="R125" s="39" t="s">
        <v>139</v>
      </c>
      <c r="S125" s="39" t="s">
        <v>139</v>
      </c>
      <c r="T125" s="39" t="s">
        <v>139</v>
      </c>
      <c r="U125" s="39" t="s">
        <v>139</v>
      </c>
      <c r="V125" s="39" t="s">
        <v>139</v>
      </c>
      <c r="W125" s="39" t="s">
        <v>139</v>
      </c>
      <c r="X125" s="39" t="s">
        <v>139</v>
      </c>
      <c r="Z125" s="40" t="str">
        <f t="shared" si="2"/>
        <v>EXECUTE [dbo].[PG_CI_UNIDAD_OPERATIVA] 0, 0, 10022, 'RZS - VEHICULAR SILZA (GAS)', 'RZS - VEHICULAR SILZA (GAS)', 'RZS - VEHI', 22000, 1, 50, X, 0, 0, 22, 0, '', '', '', '', '', '', '', '', ''</v>
      </c>
      <c r="AK125" t="s">
        <v>251</v>
      </c>
    </row>
    <row r="126" spans="1:37" ht="14.4" hidden="1" x14ac:dyDescent="0.3">
      <c r="A126" s="44">
        <v>29</v>
      </c>
      <c r="B126" s="23">
        <v>0</v>
      </c>
      <c r="C126" s="23">
        <v>0</v>
      </c>
      <c r="D126" s="46">
        <f t="shared" si="4"/>
        <v>10029</v>
      </c>
      <c r="E126" s="65" t="str">
        <f t="shared" si="5"/>
        <v>RZS - HIDROGAS DE OJINAGA</v>
      </c>
      <c r="F126" s="59" t="str">
        <f t="shared" si="6"/>
        <v>RZS - HIDROGAS DE OJINAGA</v>
      </c>
      <c r="G126" s="41" t="str">
        <f t="shared" si="7"/>
        <v>RZS - HIDR</v>
      </c>
      <c r="H126" s="44">
        <f t="shared" si="8"/>
        <v>29000</v>
      </c>
      <c r="I126" s="44">
        <v>1</v>
      </c>
      <c r="J126" s="31" t="s">
        <v>293</v>
      </c>
      <c r="K126" s="58" t="s">
        <v>300</v>
      </c>
      <c r="L126" s="46">
        <v>0</v>
      </c>
      <c r="M126" s="31" t="s">
        <v>294</v>
      </c>
      <c r="N126" s="46">
        <f t="shared" si="9"/>
        <v>29</v>
      </c>
      <c r="O126" s="31" t="s">
        <v>294</v>
      </c>
      <c r="P126" s="39" t="s">
        <v>139</v>
      </c>
      <c r="Q126" s="39" t="s">
        <v>139</v>
      </c>
      <c r="R126" s="39" t="s">
        <v>139</v>
      </c>
      <c r="S126" s="39" t="s">
        <v>139</v>
      </c>
      <c r="T126" s="39" t="s">
        <v>139</v>
      </c>
      <c r="U126" s="39" t="s">
        <v>139</v>
      </c>
      <c r="V126" s="39" t="s">
        <v>139</v>
      </c>
      <c r="W126" s="39" t="s">
        <v>139</v>
      </c>
      <c r="X126" s="39" t="s">
        <v>139</v>
      </c>
      <c r="Z126" s="40" t="str">
        <f t="shared" si="2"/>
        <v>EXECUTE [dbo].[PG_CI_UNIDAD_OPERATIVA] 0, 0, 10029, 'RZS - HIDROGAS DE OJINAGA', 'RZS - HIDROGAS DE OJINAGA', 'RZS - HIDR', 29000, 1, 50, ?, 0, 0, 29, 0, '', '', '', '', '', '', '', '', ''</v>
      </c>
      <c r="AK126" t="s">
        <v>252</v>
      </c>
    </row>
    <row r="127" spans="1:37" ht="14.4" hidden="1" x14ac:dyDescent="0.3">
      <c r="A127" s="44">
        <v>31</v>
      </c>
      <c r="B127" s="23">
        <v>0</v>
      </c>
      <c r="C127" s="23">
        <v>0</v>
      </c>
      <c r="D127" s="46">
        <f t="shared" si="4"/>
        <v>10031</v>
      </c>
      <c r="E127" s="65" t="str">
        <f t="shared" si="5"/>
        <v>RZS - INMOBILIARIA DE MEXICO GINZA</v>
      </c>
      <c r="F127" s="59" t="str">
        <f t="shared" si="6"/>
        <v>RZS - INMOBILIARIA DE MEXICO GINZA</v>
      </c>
      <c r="G127" s="41" t="str">
        <f t="shared" si="7"/>
        <v>RZS - INMO</v>
      </c>
      <c r="H127" s="44">
        <f t="shared" si="8"/>
        <v>31000</v>
      </c>
      <c r="I127" s="44">
        <v>1</v>
      </c>
      <c r="J127" s="31" t="s">
        <v>293</v>
      </c>
      <c r="K127" s="58" t="s">
        <v>300</v>
      </c>
      <c r="L127" s="46">
        <v>0</v>
      </c>
      <c r="M127" s="31" t="s">
        <v>294</v>
      </c>
      <c r="N127" s="46">
        <f t="shared" si="9"/>
        <v>31</v>
      </c>
      <c r="O127" s="31" t="s">
        <v>294</v>
      </c>
      <c r="P127" s="39" t="s">
        <v>139</v>
      </c>
      <c r="Q127" s="39" t="s">
        <v>139</v>
      </c>
      <c r="R127" s="39" t="s">
        <v>139</v>
      </c>
      <c r="S127" s="39" t="s">
        <v>139</v>
      </c>
      <c r="T127" s="39" t="s">
        <v>139</v>
      </c>
      <c r="U127" s="39" t="s">
        <v>139</v>
      </c>
      <c r="V127" s="39" t="s">
        <v>139</v>
      </c>
      <c r="W127" s="39" t="s">
        <v>139</v>
      </c>
      <c r="X127" s="39" t="s">
        <v>139</v>
      </c>
      <c r="Z127" s="40" t="str">
        <f t="shared" si="2"/>
        <v>EXECUTE [dbo].[PG_CI_UNIDAD_OPERATIVA] 0, 0, 10031, 'RZS - INMOBILIARIA DE MEXICO GINZA', 'RZS - INMOBILIARIA DE MEXICO GINZA', 'RZS - INMO', 31000, 1, 50, ?, 0, 0, 31, 0, '', '', '', '', '', '', '', '', ''</v>
      </c>
      <c r="AK127" t="s">
        <v>253</v>
      </c>
    </row>
    <row r="128" spans="1:37" ht="14.4" hidden="1" x14ac:dyDescent="0.3">
      <c r="A128" s="44">
        <v>32</v>
      </c>
      <c r="B128" s="23">
        <v>0</v>
      </c>
      <c r="C128" s="23">
        <v>0</v>
      </c>
      <c r="D128" s="46">
        <f t="shared" si="4"/>
        <v>10032</v>
      </c>
      <c r="E128" s="65" t="str">
        <f t="shared" si="5"/>
        <v>RZS - INMOBILIARIA LOS MEDANOS</v>
      </c>
      <c r="F128" s="59" t="str">
        <f t="shared" si="6"/>
        <v>RZS - INMOBILIARIA LOS MEDANOS</v>
      </c>
      <c r="G128" s="41" t="str">
        <f t="shared" si="7"/>
        <v>RZS - INMO</v>
      </c>
      <c r="H128" s="44">
        <f t="shared" si="8"/>
        <v>32000</v>
      </c>
      <c r="I128" s="44">
        <v>1</v>
      </c>
      <c r="J128" s="31" t="s">
        <v>293</v>
      </c>
      <c r="K128" s="58" t="s">
        <v>300</v>
      </c>
      <c r="L128" s="46">
        <v>0</v>
      </c>
      <c r="M128" s="31" t="s">
        <v>294</v>
      </c>
      <c r="N128" s="46">
        <f t="shared" si="9"/>
        <v>32</v>
      </c>
      <c r="O128" s="31" t="s">
        <v>294</v>
      </c>
      <c r="P128" s="39" t="s">
        <v>139</v>
      </c>
      <c r="Q128" s="39" t="s">
        <v>139</v>
      </c>
      <c r="R128" s="39" t="s">
        <v>139</v>
      </c>
      <c r="S128" s="39" t="s">
        <v>139</v>
      </c>
      <c r="T128" s="39" t="s">
        <v>139</v>
      </c>
      <c r="U128" s="39" t="s">
        <v>139</v>
      </c>
      <c r="V128" s="39" t="s">
        <v>139</v>
      </c>
      <c r="W128" s="39" t="s">
        <v>139</v>
      </c>
      <c r="X128" s="39" t="s">
        <v>139</v>
      </c>
      <c r="Z128" s="40" t="str">
        <f t="shared" si="2"/>
        <v>EXECUTE [dbo].[PG_CI_UNIDAD_OPERATIVA] 0, 0, 10032, 'RZS - INMOBILIARIA LOS MEDANOS', 'RZS - INMOBILIARIA LOS MEDANOS', 'RZS - INMO', 32000, 1, 50, ?, 0, 0, 32, 0, '', '', '', '', '', '', '', '', ''</v>
      </c>
      <c r="AK128" t="s">
        <v>254</v>
      </c>
    </row>
    <row r="129" spans="1:37" ht="14.4" hidden="1" x14ac:dyDescent="0.3">
      <c r="A129" s="44">
        <v>33</v>
      </c>
      <c r="B129" s="23">
        <v>0</v>
      </c>
      <c r="C129" s="23">
        <v>0</v>
      </c>
      <c r="D129" s="46">
        <f t="shared" si="4"/>
        <v>10033</v>
      </c>
      <c r="E129" s="65" t="str">
        <f t="shared" si="5"/>
        <v>RZS - INMOBILIARIA SILZA</v>
      </c>
      <c r="F129" s="59" t="str">
        <f t="shared" si="6"/>
        <v>RZS - INMOBILIARIA SILZA</v>
      </c>
      <c r="G129" s="41" t="str">
        <f t="shared" si="7"/>
        <v>RZS - INMO</v>
      </c>
      <c r="H129" s="44">
        <f t="shared" si="8"/>
        <v>33000</v>
      </c>
      <c r="I129" s="44">
        <v>1</v>
      </c>
      <c r="J129" s="31" t="s">
        <v>293</v>
      </c>
      <c r="K129" s="58" t="s">
        <v>300</v>
      </c>
      <c r="L129" s="46">
        <v>0</v>
      </c>
      <c r="M129" s="31" t="s">
        <v>294</v>
      </c>
      <c r="N129" s="46">
        <f t="shared" si="9"/>
        <v>33</v>
      </c>
      <c r="O129" s="31" t="s">
        <v>294</v>
      </c>
      <c r="P129" s="39" t="s">
        <v>139</v>
      </c>
      <c r="Q129" s="39" t="s">
        <v>139</v>
      </c>
      <c r="R129" s="39" t="s">
        <v>139</v>
      </c>
      <c r="S129" s="39" t="s">
        <v>139</v>
      </c>
      <c r="T129" s="39" t="s">
        <v>139</v>
      </c>
      <c r="U129" s="39" t="s">
        <v>139</v>
      </c>
      <c r="V129" s="39" t="s">
        <v>139</v>
      </c>
      <c r="W129" s="39" t="s">
        <v>139</v>
      </c>
      <c r="X129" s="39" t="s">
        <v>139</v>
      </c>
      <c r="Z129" s="40" t="str">
        <f t="shared" si="2"/>
        <v>EXECUTE [dbo].[PG_CI_UNIDAD_OPERATIVA] 0, 0, 10033, 'RZS - INMOBILIARIA SILZA', 'RZS - INMOBILIARIA SILZA', 'RZS - INMO', 33000, 1, 50, ?, 0, 0, 33, 0, '', '', '', '', '', '', '', '', ''</v>
      </c>
      <c r="AK129" t="s">
        <v>255</v>
      </c>
    </row>
    <row r="130" spans="1:37" ht="14.4" hidden="1" x14ac:dyDescent="0.3">
      <c r="A130" s="44">
        <v>34</v>
      </c>
      <c r="B130" s="23">
        <v>0</v>
      </c>
      <c r="C130" s="23">
        <v>0</v>
      </c>
      <c r="D130" s="46">
        <f t="shared" si="4"/>
        <v>10034</v>
      </c>
      <c r="E130" s="65" t="str">
        <f t="shared" si="5"/>
        <v>RZS - INMOBILIARIA TOMZA</v>
      </c>
      <c r="F130" s="59" t="str">
        <f t="shared" si="6"/>
        <v>RZS - INMOBILIARIA TOMZA</v>
      </c>
      <c r="G130" s="41" t="str">
        <f t="shared" si="7"/>
        <v>RZS - INMO</v>
      </c>
      <c r="H130" s="44">
        <f t="shared" si="8"/>
        <v>34000</v>
      </c>
      <c r="I130" s="44">
        <v>1</v>
      </c>
      <c r="J130" s="31" t="s">
        <v>293</v>
      </c>
      <c r="K130" s="58" t="s">
        <v>300</v>
      </c>
      <c r="L130" s="46">
        <v>0</v>
      </c>
      <c r="M130" s="31" t="s">
        <v>294</v>
      </c>
      <c r="N130" s="46">
        <f t="shared" si="9"/>
        <v>34</v>
      </c>
      <c r="O130" s="31" t="s">
        <v>294</v>
      </c>
      <c r="P130" s="39" t="s">
        <v>139</v>
      </c>
      <c r="Q130" s="39" t="s">
        <v>139</v>
      </c>
      <c r="R130" s="39" t="s">
        <v>139</v>
      </c>
      <c r="S130" s="39" t="s">
        <v>139</v>
      </c>
      <c r="T130" s="39" t="s">
        <v>139</v>
      </c>
      <c r="U130" s="39" t="s">
        <v>139</v>
      </c>
      <c r="V130" s="39" t="s">
        <v>139</v>
      </c>
      <c r="W130" s="39" t="s">
        <v>139</v>
      </c>
      <c r="X130" s="39" t="s">
        <v>139</v>
      </c>
      <c r="Z130" s="40" t="str">
        <f t="shared" ref="Z130:Z168" si="10">CONCATENATE("EXECUTE [dbo].[PG_CI_UNIDAD_OPERATIVA]"," ",B130,", ",C130,", ",D130,", '",E130,"', '",F130,"', '",G130,"', ",H130,", ",I130,", ",J130,", ",K130,", ",L130,", ",M130,", ",N130,", ",O130,", ",P130,", ",Q130,", ",R130,", ",S130,", ",T130,", ",U130,", ",V130,", ",W130,", ",X130)</f>
        <v>EXECUTE [dbo].[PG_CI_UNIDAD_OPERATIVA] 0, 0, 10034, 'RZS - INMOBILIARIA TOMZA', 'RZS - INMOBILIARIA TOMZA', 'RZS - INMO', 34000, 1, 50, ?, 0, 0, 34, 0, '', '', '', '', '', '', '', '', ''</v>
      </c>
      <c r="AK130" t="s">
        <v>256</v>
      </c>
    </row>
    <row r="131" spans="1:37" ht="14.4" hidden="1" x14ac:dyDescent="0.3">
      <c r="A131" s="44">
        <v>35</v>
      </c>
      <c r="B131" s="23">
        <v>0</v>
      </c>
      <c r="C131" s="23">
        <v>0</v>
      </c>
      <c r="D131" s="46">
        <f t="shared" si="4"/>
        <v>10035</v>
      </c>
      <c r="E131" s="65" t="str">
        <f t="shared" si="5"/>
        <v>RZS - INMOBILIARIA ZARAGOZA ITO</v>
      </c>
      <c r="F131" s="59" t="str">
        <f t="shared" si="6"/>
        <v>RZS - INMOBILIARIA ZARAGOZA ITO</v>
      </c>
      <c r="G131" s="41" t="str">
        <f t="shared" si="7"/>
        <v>RZS - INMO</v>
      </c>
      <c r="H131" s="44">
        <f t="shared" si="8"/>
        <v>35000</v>
      </c>
      <c r="I131" s="44">
        <v>1</v>
      </c>
      <c r="J131" s="31" t="s">
        <v>293</v>
      </c>
      <c r="K131" s="58" t="s">
        <v>300</v>
      </c>
      <c r="L131" s="46">
        <v>0</v>
      </c>
      <c r="M131" s="31" t="s">
        <v>294</v>
      </c>
      <c r="N131" s="46">
        <f t="shared" si="9"/>
        <v>35</v>
      </c>
      <c r="O131" s="31" t="s">
        <v>294</v>
      </c>
      <c r="P131" s="39" t="s">
        <v>139</v>
      </c>
      <c r="Q131" s="39" t="s">
        <v>139</v>
      </c>
      <c r="R131" s="39" t="s">
        <v>139</v>
      </c>
      <c r="S131" s="39" t="s">
        <v>139</v>
      </c>
      <c r="T131" s="39" t="s">
        <v>139</v>
      </c>
      <c r="U131" s="39" t="s">
        <v>139</v>
      </c>
      <c r="V131" s="39" t="s">
        <v>139</v>
      </c>
      <c r="W131" s="39" t="s">
        <v>139</v>
      </c>
      <c r="X131" s="39" t="s">
        <v>139</v>
      </c>
      <c r="Z131" s="40" t="str">
        <f t="shared" si="10"/>
        <v>EXECUTE [dbo].[PG_CI_UNIDAD_OPERATIVA] 0, 0, 10035, 'RZS - INMOBILIARIA ZARAGOZA ITO', 'RZS - INMOBILIARIA ZARAGOZA ITO', 'RZS - INMO', 35000, 1, 50, ?, 0, 0, 35, 0, '', '', '', '', '', '', '', '', ''</v>
      </c>
      <c r="AK131" t="s">
        <v>257</v>
      </c>
    </row>
    <row r="132" spans="1:37" ht="14.4" hidden="1" x14ac:dyDescent="0.3">
      <c r="A132" s="44">
        <v>37</v>
      </c>
      <c r="B132" s="23">
        <v>0</v>
      </c>
      <c r="C132" s="23">
        <v>0</v>
      </c>
      <c r="D132" s="46">
        <f t="shared" si="4"/>
        <v>10037</v>
      </c>
      <c r="E132" s="65" t="str">
        <f t="shared" si="5"/>
        <v>RZS - SR. ENRIQUE ZARAGOZA ITO</v>
      </c>
      <c r="F132" s="59" t="str">
        <f t="shared" si="6"/>
        <v>RZS - SR. ENRIQUE ZARAGOZA ITO</v>
      </c>
      <c r="G132" s="41" t="str">
        <f t="shared" si="7"/>
        <v xml:space="preserve">RZS - SR. </v>
      </c>
      <c r="H132" s="44">
        <f t="shared" si="8"/>
        <v>37000</v>
      </c>
      <c r="I132" s="44">
        <v>1</v>
      </c>
      <c r="J132" s="31" t="s">
        <v>293</v>
      </c>
      <c r="K132" s="58" t="s">
        <v>300</v>
      </c>
      <c r="L132" s="46">
        <v>0</v>
      </c>
      <c r="M132" s="31" t="s">
        <v>294</v>
      </c>
      <c r="N132" s="46">
        <f t="shared" si="9"/>
        <v>37</v>
      </c>
      <c r="O132" s="31" t="s">
        <v>294</v>
      </c>
      <c r="P132" s="39" t="s">
        <v>139</v>
      </c>
      <c r="Q132" s="39" t="s">
        <v>139</v>
      </c>
      <c r="R132" s="39" t="s">
        <v>139</v>
      </c>
      <c r="S132" s="39" t="s">
        <v>139</v>
      </c>
      <c r="T132" s="39" t="s">
        <v>139</v>
      </c>
      <c r="U132" s="39" t="s">
        <v>139</v>
      </c>
      <c r="V132" s="39" t="s">
        <v>139</v>
      </c>
      <c r="W132" s="39" t="s">
        <v>139</v>
      </c>
      <c r="X132" s="39" t="s">
        <v>139</v>
      </c>
      <c r="Z132" s="40" t="str">
        <f t="shared" si="10"/>
        <v>EXECUTE [dbo].[PG_CI_UNIDAD_OPERATIVA] 0, 0, 10037, 'RZS - SR. ENRIQUE ZARAGOZA ITO', 'RZS - SR. ENRIQUE ZARAGOZA ITO', 'RZS - SR. ', 37000, 1, 50, ?, 0, 0, 37, 0, '', '', '', '', '', '', '', '', ''</v>
      </c>
      <c r="AK132" t="s">
        <v>258</v>
      </c>
    </row>
    <row r="133" spans="1:37" ht="14.4" hidden="1" x14ac:dyDescent="0.3">
      <c r="A133" s="44">
        <v>38</v>
      </c>
      <c r="B133" s="23">
        <v>0</v>
      </c>
      <c r="C133" s="23">
        <v>0</v>
      </c>
      <c r="D133" s="46">
        <f t="shared" si="4"/>
        <v>10038</v>
      </c>
      <c r="E133" s="65" t="str">
        <f t="shared" si="5"/>
        <v>RZS - SR. TOMAS ZARAGOZA FUENTES</v>
      </c>
      <c r="F133" s="59" t="str">
        <f t="shared" si="6"/>
        <v>RZS - SR. TOMAS ZARAGOZA FUENTES</v>
      </c>
      <c r="G133" s="41" t="str">
        <f t="shared" si="7"/>
        <v xml:space="preserve">RZS - SR. </v>
      </c>
      <c r="H133" s="44">
        <f t="shared" si="8"/>
        <v>38000</v>
      </c>
      <c r="I133" s="44">
        <v>1</v>
      </c>
      <c r="J133" s="31" t="s">
        <v>293</v>
      </c>
      <c r="K133" s="58" t="s">
        <v>300</v>
      </c>
      <c r="L133" s="46">
        <v>0</v>
      </c>
      <c r="M133" s="31" t="s">
        <v>294</v>
      </c>
      <c r="N133" s="46">
        <f t="shared" si="9"/>
        <v>38</v>
      </c>
      <c r="O133" s="31" t="s">
        <v>294</v>
      </c>
      <c r="P133" s="39" t="s">
        <v>139</v>
      </c>
      <c r="Q133" s="39" t="s">
        <v>139</v>
      </c>
      <c r="R133" s="39" t="s">
        <v>139</v>
      </c>
      <c r="S133" s="39" t="s">
        <v>139</v>
      </c>
      <c r="T133" s="39" t="s">
        <v>139</v>
      </c>
      <c r="U133" s="39" t="s">
        <v>139</v>
      </c>
      <c r="V133" s="39" t="s">
        <v>139</v>
      </c>
      <c r="W133" s="39" t="s">
        <v>139</v>
      </c>
      <c r="X133" s="39" t="s">
        <v>139</v>
      </c>
      <c r="Z133" s="40" t="str">
        <f t="shared" si="10"/>
        <v>EXECUTE [dbo].[PG_CI_UNIDAD_OPERATIVA] 0, 0, 10038, 'RZS - SR. TOMAS ZARAGOZA FUENTES', 'RZS - SR. TOMAS ZARAGOZA FUENTES', 'RZS - SR. ', 38000, 1, 50, ?, 0, 0, 38, 0, '', '', '', '', '', '', '', '', ''</v>
      </c>
      <c r="AK133" t="s">
        <v>259</v>
      </c>
    </row>
    <row r="134" spans="1:37" ht="14.4" hidden="1" x14ac:dyDescent="0.3">
      <c r="A134" s="44">
        <v>39</v>
      </c>
      <c r="B134" s="23">
        <v>0</v>
      </c>
      <c r="C134" s="23">
        <v>0</v>
      </c>
      <c r="D134" s="46">
        <f t="shared" si="4"/>
        <v>10039</v>
      </c>
      <c r="E134" s="65" t="str">
        <f t="shared" si="5"/>
        <v>RZS - SR. TOMAS ZARAGOZA ITO</v>
      </c>
      <c r="F134" s="59" t="str">
        <f t="shared" si="6"/>
        <v>RZS - SR. TOMAS ZARAGOZA ITO</v>
      </c>
      <c r="G134" s="41" t="str">
        <f t="shared" si="7"/>
        <v xml:space="preserve">RZS - SR. </v>
      </c>
      <c r="H134" s="44">
        <f t="shared" si="8"/>
        <v>39000</v>
      </c>
      <c r="I134" s="44">
        <v>1</v>
      </c>
      <c r="J134" s="31" t="s">
        <v>293</v>
      </c>
      <c r="K134" s="58" t="s">
        <v>300</v>
      </c>
      <c r="L134" s="46">
        <v>0</v>
      </c>
      <c r="M134" s="31" t="s">
        <v>294</v>
      </c>
      <c r="N134" s="46">
        <f t="shared" si="9"/>
        <v>39</v>
      </c>
      <c r="O134" s="31" t="s">
        <v>294</v>
      </c>
      <c r="P134" s="39" t="s">
        <v>139</v>
      </c>
      <c r="Q134" s="39" t="s">
        <v>139</v>
      </c>
      <c r="R134" s="39" t="s">
        <v>139</v>
      </c>
      <c r="S134" s="39" t="s">
        <v>139</v>
      </c>
      <c r="T134" s="39" t="s">
        <v>139</v>
      </c>
      <c r="U134" s="39" t="s">
        <v>139</v>
      </c>
      <c r="V134" s="39" t="s">
        <v>139</v>
      </c>
      <c r="W134" s="39" t="s">
        <v>139</v>
      </c>
      <c r="X134" s="39" t="s">
        <v>139</v>
      </c>
      <c r="Z134" s="40" t="str">
        <f t="shared" si="10"/>
        <v>EXECUTE [dbo].[PG_CI_UNIDAD_OPERATIVA] 0, 0, 10039, 'RZS - SR. TOMAS ZARAGOZA ITO', 'RZS - SR. TOMAS ZARAGOZA ITO', 'RZS - SR. ', 39000, 1, 50, ?, 0, 0, 39, 0, '', '', '', '', '', '', '', '', ''</v>
      </c>
      <c r="AK134" t="s">
        <v>260</v>
      </c>
    </row>
    <row r="135" spans="1:37" ht="14.4" hidden="1" x14ac:dyDescent="0.3">
      <c r="A135" s="44">
        <v>40</v>
      </c>
      <c r="B135" s="23">
        <v>0</v>
      </c>
      <c r="C135" s="23">
        <v>0</v>
      </c>
      <c r="D135" s="46">
        <f t="shared" si="4"/>
        <v>10040</v>
      </c>
      <c r="E135" s="65" t="str">
        <f t="shared" si="5"/>
        <v>RZS - SRITA. SILVIA ZARAGOZA ITO</v>
      </c>
      <c r="F135" s="59" t="str">
        <f t="shared" si="6"/>
        <v>RZS - SRITA. SILVIA ZARAGOZA ITO</v>
      </c>
      <c r="G135" s="41" t="str">
        <f t="shared" si="7"/>
        <v>RZS - SRIT</v>
      </c>
      <c r="H135" s="44">
        <f t="shared" si="8"/>
        <v>40000</v>
      </c>
      <c r="I135" s="44">
        <v>1</v>
      </c>
      <c r="J135" s="31" t="s">
        <v>293</v>
      </c>
      <c r="K135" s="58" t="s">
        <v>300</v>
      </c>
      <c r="L135" s="46">
        <v>0</v>
      </c>
      <c r="M135" s="31" t="s">
        <v>294</v>
      </c>
      <c r="N135" s="46">
        <f t="shared" si="9"/>
        <v>40</v>
      </c>
      <c r="O135" s="31" t="s">
        <v>294</v>
      </c>
      <c r="P135" s="39" t="s">
        <v>139</v>
      </c>
      <c r="Q135" s="39" t="s">
        <v>139</v>
      </c>
      <c r="R135" s="39" t="s">
        <v>139</v>
      </c>
      <c r="S135" s="39" t="s">
        <v>139</v>
      </c>
      <c r="T135" s="39" t="s">
        <v>139</v>
      </c>
      <c r="U135" s="39" t="s">
        <v>139</v>
      </c>
      <c r="V135" s="39" t="s">
        <v>139</v>
      </c>
      <c r="W135" s="39" t="s">
        <v>139</v>
      </c>
      <c r="X135" s="39" t="s">
        <v>139</v>
      </c>
      <c r="Z135" s="40" t="str">
        <f t="shared" si="10"/>
        <v>EXECUTE [dbo].[PG_CI_UNIDAD_OPERATIVA] 0, 0, 10040, 'RZS - SRITA. SILVIA ZARAGOZA ITO', 'RZS - SRITA. SILVIA ZARAGOZA ITO', 'RZS - SRIT', 40000, 1, 50, ?, 0, 0, 40, 0, '', '', '', '', '', '', '', '', ''</v>
      </c>
      <c r="AK135" t="s">
        <v>261</v>
      </c>
    </row>
    <row r="136" spans="1:37" ht="14.4" hidden="1" x14ac:dyDescent="0.3">
      <c r="A136" s="44">
        <v>41</v>
      </c>
      <c r="B136" s="23">
        <v>0</v>
      </c>
      <c r="C136" s="23">
        <v>0</v>
      </c>
      <c r="D136" s="46">
        <f t="shared" si="4"/>
        <v>10041</v>
      </c>
      <c r="E136" s="65" t="str">
        <f t="shared" si="5"/>
        <v>RZS - TRANSPORTADORA SILZA MX</v>
      </c>
      <c r="F136" s="59" t="str">
        <f t="shared" si="6"/>
        <v>RZS - TRANSPORTADORA SILZA MX</v>
      </c>
      <c r="G136" s="41" t="str">
        <f t="shared" si="7"/>
        <v>RZS - TRAN</v>
      </c>
      <c r="H136" s="44">
        <f t="shared" si="8"/>
        <v>41000</v>
      </c>
      <c r="I136" s="44">
        <v>1</v>
      </c>
      <c r="J136" s="31" t="s">
        <v>293</v>
      </c>
      <c r="K136" s="58" t="s">
        <v>300</v>
      </c>
      <c r="L136" s="46">
        <v>0</v>
      </c>
      <c r="M136" s="31" t="s">
        <v>294</v>
      </c>
      <c r="N136" s="46">
        <f t="shared" si="9"/>
        <v>41</v>
      </c>
      <c r="O136" s="31" t="s">
        <v>294</v>
      </c>
      <c r="P136" s="39" t="s">
        <v>139</v>
      </c>
      <c r="Q136" s="39" t="s">
        <v>139</v>
      </c>
      <c r="R136" s="39" t="s">
        <v>139</v>
      </c>
      <c r="S136" s="39" t="s">
        <v>139</v>
      </c>
      <c r="T136" s="39" t="s">
        <v>139</v>
      </c>
      <c r="U136" s="39" t="s">
        <v>139</v>
      </c>
      <c r="V136" s="39" t="s">
        <v>139</v>
      </c>
      <c r="W136" s="39" t="s">
        <v>139</v>
      </c>
      <c r="X136" s="39" t="s">
        <v>139</v>
      </c>
      <c r="Z136" s="40" t="str">
        <f t="shared" si="10"/>
        <v>EXECUTE [dbo].[PG_CI_UNIDAD_OPERATIVA] 0, 0, 10041, 'RZS - TRANSPORTADORA SILZA MX', 'RZS - TRANSPORTADORA SILZA MX', 'RZS - TRAN', 41000, 1, 50, ?, 0, 0, 41, 0, '', '', '', '', '', '', '', '', ''</v>
      </c>
      <c r="AK136" t="s">
        <v>262</v>
      </c>
    </row>
    <row r="137" spans="1:37" ht="14.4" hidden="1" x14ac:dyDescent="0.3">
      <c r="A137" s="44">
        <v>44</v>
      </c>
      <c r="B137" s="23">
        <v>0</v>
      </c>
      <c r="C137" s="23">
        <v>0</v>
      </c>
      <c r="D137" s="46">
        <f t="shared" si="4"/>
        <v>10044</v>
      </c>
      <c r="E137" s="65" t="str">
        <f t="shared" si="5"/>
        <v>RZS - CORPORACION TOMZA</v>
      </c>
      <c r="F137" s="59" t="str">
        <f t="shared" si="6"/>
        <v>RZS - CORPORACION TOMZA</v>
      </c>
      <c r="G137" s="41" t="str">
        <f t="shared" si="7"/>
        <v>RZS - CORP</v>
      </c>
      <c r="H137" s="44">
        <f t="shared" si="8"/>
        <v>44000</v>
      </c>
      <c r="I137" s="44">
        <v>1</v>
      </c>
      <c r="J137" s="31" t="s">
        <v>293</v>
      </c>
      <c r="K137" s="58" t="s">
        <v>300</v>
      </c>
      <c r="L137" s="46">
        <v>0</v>
      </c>
      <c r="M137" s="31" t="s">
        <v>294</v>
      </c>
      <c r="N137" s="46">
        <f t="shared" si="9"/>
        <v>44</v>
      </c>
      <c r="O137" s="31" t="s">
        <v>294</v>
      </c>
      <c r="P137" s="39" t="s">
        <v>139</v>
      </c>
      <c r="Q137" s="39" t="s">
        <v>139</v>
      </c>
      <c r="R137" s="39" t="s">
        <v>139</v>
      </c>
      <c r="S137" s="39" t="s">
        <v>139</v>
      </c>
      <c r="T137" s="39" t="s">
        <v>139</v>
      </c>
      <c r="U137" s="39" t="s">
        <v>139</v>
      </c>
      <c r="V137" s="39" t="s">
        <v>139</v>
      </c>
      <c r="W137" s="39" t="s">
        <v>139</v>
      </c>
      <c r="X137" s="39" t="s">
        <v>139</v>
      </c>
      <c r="Z137" s="40" t="str">
        <f t="shared" si="10"/>
        <v>EXECUTE [dbo].[PG_CI_UNIDAD_OPERATIVA] 0, 0, 10044, 'RZS - CORPORACION TOMZA', 'RZS - CORPORACION TOMZA', 'RZS - CORP', 44000, 1, 50, ?, 0, 0, 44, 0, '', '', '', '', '', '', '', '', ''</v>
      </c>
      <c r="AK137" t="s">
        <v>263</v>
      </c>
    </row>
    <row r="138" spans="1:37" ht="14.4" hidden="1" x14ac:dyDescent="0.3">
      <c r="A138" s="44">
        <v>50</v>
      </c>
      <c r="B138" s="23">
        <v>0</v>
      </c>
      <c r="C138" s="23">
        <v>0</v>
      </c>
      <c r="D138" s="46">
        <f t="shared" si="4"/>
        <v>10050</v>
      </c>
      <c r="E138" s="65" t="str">
        <f t="shared" si="5"/>
        <v>RZS - SUN CITY VENTURES</v>
      </c>
      <c r="F138" s="59" t="str">
        <f t="shared" si="6"/>
        <v>RZS - SUN CITY VENTURES</v>
      </c>
      <c r="G138" s="41" t="str">
        <f t="shared" si="7"/>
        <v xml:space="preserve">RZS - SUN </v>
      </c>
      <c r="H138" s="44">
        <f t="shared" si="8"/>
        <v>50000</v>
      </c>
      <c r="I138" s="44">
        <v>1</v>
      </c>
      <c r="J138" s="31" t="s">
        <v>293</v>
      </c>
      <c r="K138" s="58" t="s">
        <v>300</v>
      </c>
      <c r="L138" s="46">
        <v>0</v>
      </c>
      <c r="M138" s="31" t="s">
        <v>294</v>
      </c>
      <c r="N138" s="46">
        <f t="shared" si="9"/>
        <v>50</v>
      </c>
      <c r="O138" s="31" t="s">
        <v>294</v>
      </c>
      <c r="P138" s="39" t="s">
        <v>139</v>
      </c>
      <c r="Q138" s="39" t="s">
        <v>139</v>
      </c>
      <c r="R138" s="39" t="s">
        <v>139</v>
      </c>
      <c r="S138" s="39" t="s">
        <v>139</v>
      </c>
      <c r="T138" s="39" t="s">
        <v>139</v>
      </c>
      <c r="U138" s="39" t="s">
        <v>139</v>
      </c>
      <c r="V138" s="39" t="s">
        <v>139</v>
      </c>
      <c r="W138" s="39" t="s">
        <v>139</v>
      </c>
      <c r="X138" s="39" t="s">
        <v>139</v>
      </c>
      <c r="Z138" s="40" t="str">
        <f t="shared" si="10"/>
        <v>EXECUTE [dbo].[PG_CI_UNIDAD_OPERATIVA] 0, 0, 10050, 'RZS - SUN CITY VENTURES', 'RZS - SUN CITY VENTURES', 'RZS - SUN ', 50000, 1, 50, ?, 0, 0, 50, 0, '', '', '', '', '', '', '', '', ''</v>
      </c>
      <c r="AK138" t="s">
        <v>264</v>
      </c>
    </row>
    <row r="139" spans="1:37" ht="14.4" hidden="1" x14ac:dyDescent="0.3">
      <c r="A139" s="44">
        <v>51</v>
      </c>
      <c r="B139" s="23">
        <v>0</v>
      </c>
      <c r="C139" s="23">
        <v>0</v>
      </c>
      <c r="D139" s="46">
        <f t="shared" si="4"/>
        <v>10051</v>
      </c>
      <c r="E139" s="65" t="str">
        <f t="shared" si="5"/>
        <v>RZS - AMERICAN AIR LODGE LP</v>
      </c>
      <c r="F139" s="59" t="str">
        <f t="shared" si="6"/>
        <v>RZS - AMERICAN AIR LODGE LP</v>
      </c>
      <c r="G139" s="41" t="str">
        <f t="shared" si="7"/>
        <v>RZS - AMER</v>
      </c>
      <c r="H139" s="44">
        <f t="shared" si="8"/>
        <v>51000</v>
      </c>
      <c r="I139" s="44">
        <v>1</v>
      </c>
      <c r="J139" s="31" t="s">
        <v>293</v>
      </c>
      <c r="K139" s="58" t="s">
        <v>300</v>
      </c>
      <c r="L139" s="46">
        <v>0</v>
      </c>
      <c r="M139" s="31" t="s">
        <v>294</v>
      </c>
      <c r="N139" s="46">
        <f t="shared" si="9"/>
        <v>51</v>
      </c>
      <c r="O139" s="31" t="s">
        <v>294</v>
      </c>
      <c r="P139" s="39" t="s">
        <v>139</v>
      </c>
      <c r="Q139" s="39" t="s">
        <v>139</v>
      </c>
      <c r="R139" s="39" t="s">
        <v>139</v>
      </c>
      <c r="S139" s="39" t="s">
        <v>139</v>
      </c>
      <c r="T139" s="39" t="s">
        <v>139</v>
      </c>
      <c r="U139" s="39" t="s">
        <v>139</v>
      </c>
      <c r="V139" s="39" t="s">
        <v>139</v>
      </c>
      <c r="W139" s="39" t="s">
        <v>139</v>
      </c>
      <c r="X139" s="39" t="s">
        <v>139</v>
      </c>
      <c r="Z139" s="40" t="str">
        <f t="shared" si="10"/>
        <v>EXECUTE [dbo].[PG_CI_UNIDAD_OPERATIVA] 0, 0, 10051, 'RZS - AMERICAN AIR LODGE LP', 'RZS - AMERICAN AIR LODGE LP', 'RZS - AMER', 51000, 1, 50, ?, 0, 0, 51, 0, '', '', '', '', '', '', '', '', ''</v>
      </c>
      <c r="AK139" t="s">
        <v>265</v>
      </c>
    </row>
    <row r="140" spans="1:37" ht="14.4" hidden="1" x14ac:dyDescent="0.3">
      <c r="A140" s="44">
        <v>52</v>
      </c>
      <c r="B140" s="23">
        <v>0</v>
      </c>
      <c r="C140" s="23">
        <v>0</v>
      </c>
      <c r="D140" s="46">
        <f t="shared" si="4"/>
        <v>10052</v>
      </c>
      <c r="E140" s="65" t="str">
        <f t="shared" si="5"/>
        <v>RZS - CORPRACION E INVERSIONES TOMZA DE MEXICO</v>
      </c>
      <c r="F140" s="59" t="str">
        <f t="shared" si="6"/>
        <v>RZS - CORPRACION E INVERSIONES TOMZA DE MEXICO</v>
      </c>
      <c r="G140" s="41" t="str">
        <f t="shared" si="7"/>
        <v>RZS - CORP</v>
      </c>
      <c r="H140" s="44">
        <f t="shared" si="8"/>
        <v>52000</v>
      </c>
      <c r="I140" s="44">
        <v>1</v>
      </c>
      <c r="J140" s="31" t="s">
        <v>293</v>
      </c>
      <c r="K140" s="58" t="s">
        <v>300</v>
      </c>
      <c r="L140" s="46">
        <v>0</v>
      </c>
      <c r="M140" s="31" t="s">
        <v>294</v>
      </c>
      <c r="N140" s="46">
        <f t="shared" si="9"/>
        <v>52</v>
      </c>
      <c r="O140" s="31" t="s">
        <v>294</v>
      </c>
      <c r="P140" s="39" t="s">
        <v>139</v>
      </c>
      <c r="Q140" s="39" t="s">
        <v>139</v>
      </c>
      <c r="R140" s="39" t="s">
        <v>139</v>
      </c>
      <c r="S140" s="39" t="s">
        <v>139</v>
      </c>
      <c r="T140" s="39" t="s">
        <v>139</v>
      </c>
      <c r="U140" s="39" t="s">
        <v>139</v>
      </c>
      <c r="V140" s="39" t="s">
        <v>139</v>
      </c>
      <c r="W140" s="39" t="s">
        <v>139</v>
      </c>
      <c r="X140" s="39" t="s">
        <v>139</v>
      </c>
      <c r="Z140" s="40" t="str">
        <f t="shared" si="10"/>
        <v>EXECUTE [dbo].[PG_CI_UNIDAD_OPERATIVA] 0, 0, 10052, 'RZS - CORPRACION E INVERSIONES TOMZA DE MEXICO', 'RZS - CORPRACION E INVERSIONES TOMZA DE MEXICO', 'RZS - CORP', 52000, 1, 50, ?, 0, 0, 52, 0, '', '', '', '', '', '', '', '', ''</v>
      </c>
      <c r="AK140" t="s">
        <v>266</v>
      </c>
    </row>
    <row r="141" spans="1:37" ht="14.4" x14ac:dyDescent="0.3">
      <c r="A141" s="44">
        <v>54</v>
      </c>
      <c r="B141" s="23">
        <v>0</v>
      </c>
      <c r="C141" s="23">
        <v>0</v>
      </c>
      <c r="D141" s="66">
        <f t="shared" si="4"/>
        <v>10054</v>
      </c>
      <c r="E141" s="67" t="str">
        <f t="shared" si="5"/>
        <v>RZS - TOMZA DE VERACRUZ (GAS)</v>
      </c>
      <c r="F141" s="59" t="str">
        <f t="shared" si="6"/>
        <v>RZS - TOMZA DE VERACRUZ (GAS)</v>
      </c>
      <c r="G141" s="41" t="str">
        <f t="shared" si="7"/>
        <v>RZS - TOMZ</v>
      </c>
      <c r="H141" s="44">
        <f t="shared" si="8"/>
        <v>54000</v>
      </c>
      <c r="I141" s="44">
        <v>1</v>
      </c>
      <c r="J141" s="31" t="s">
        <v>293</v>
      </c>
      <c r="K141" s="58" t="s">
        <v>299</v>
      </c>
      <c r="L141" s="46">
        <v>0</v>
      </c>
      <c r="M141" s="31" t="s">
        <v>294</v>
      </c>
      <c r="N141" s="46">
        <f t="shared" si="9"/>
        <v>54</v>
      </c>
      <c r="O141" s="31" t="s">
        <v>294</v>
      </c>
      <c r="P141" s="39" t="s">
        <v>139</v>
      </c>
      <c r="Q141" s="39" t="s">
        <v>139</v>
      </c>
      <c r="R141" s="39" t="s">
        <v>139</v>
      </c>
      <c r="S141" s="39" t="s">
        <v>139</v>
      </c>
      <c r="T141" s="39" t="s">
        <v>139</v>
      </c>
      <c r="U141" s="39" t="s">
        <v>139</v>
      </c>
      <c r="V141" s="39" t="s">
        <v>139</v>
      </c>
      <c r="W141" s="39" t="s">
        <v>139</v>
      </c>
      <c r="X141" s="39" t="s">
        <v>139</v>
      </c>
      <c r="Z141" s="40" t="str">
        <f t="shared" si="10"/>
        <v>EXECUTE [dbo].[PG_CI_UNIDAD_OPERATIVA] 0, 0, 10054, 'RZS - TOMZA DE VERACRUZ (GAS)', 'RZS - TOMZA DE VERACRUZ (GAS)', 'RZS - TOMZ', 54000, 1, 50, 60, 0, 0, 54, 0, '', '', '', '', '', '', '', '', ''</v>
      </c>
      <c r="AK141" t="s">
        <v>267</v>
      </c>
    </row>
    <row r="142" spans="1:37" ht="14.4" hidden="1" x14ac:dyDescent="0.3">
      <c r="A142" s="44">
        <v>57</v>
      </c>
      <c r="B142" s="23">
        <v>0</v>
      </c>
      <c r="C142" s="23">
        <v>0</v>
      </c>
      <c r="D142" s="46">
        <f t="shared" si="4"/>
        <v>10057</v>
      </c>
      <c r="E142" s="65" t="str">
        <f t="shared" si="5"/>
        <v>RZS - TERMINAL MARITIMA GAS TOMZA</v>
      </c>
      <c r="F142" s="59" t="str">
        <f t="shared" si="6"/>
        <v>RZS - TERMINAL MARITIMA GAS TOMZA</v>
      </c>
      <c r="G142" s="41" t="str">
        <f t="shared" si="7"/>
        <v>RZS - TERM</v>
      </c>
      <c r="H142" s="44">
        <f t="shared" si="8"/>
        <v>57000</v>
      </c>
      <c r="I142" s="44">
        <v>1</v>
      </c>
      <c r="J142" s="31" t="s">
        <v>293</v>
      </c>
      <c r="K142" s="58" t="s">
        <v>300</v>
      </c>
      <c r="L142" s="46">
        <v>0</v>
      </c>
      <c r="M142" s="31" t="s">
        <v>294</v>
      </c>
      <c r="N142" s="46">
        <f t="shared" si="9"/>
        <v>57</v>
      </c>
      <c r="O142" s="31" t="s">
        <v>294</v>
      </c>
      <c r="P142" s="39" t="s">
        <v>139</v>
      </c>
      <c r="Q142" s="39" t="s">
        <v>139</v>
      </c>
      <c r="R142" s="39" t="s">
        <v>139</v>
      </c>
      <c r="S142" s="39" t="s">
        <v>139</v>
      </c>
      <c r="T142" s="39" t="s">
        <v>139</v>
      </c>
      <c r="U142" s="39" t="s">
        <v>139</v>
      </c>
      <c r="V142" s="39" t="s">
        <v>139</v>
      </c>
      <c r="W142" s="39" t="s">
        <v>139</v>
      </c>
      <c r="X142" s="39" t="s">
        <v>139</v>
      </c>
      <c r="Z142" s="40" t="str">
        <f t="shared" si="10"/>
        <v>EXECUTE [dbo].[PG_CI_UNIDAD_OPERATIVA] 0, 0, 10057, 'RZS - TERMINAL MARITIMA GAS TOMZA', 'RZS - TERMINAL MARITIMA GAS TOMZA', 'RZS - TERM', 57000, 1, 50, ?, 0, 0, 57, 0, '', '', '', '', '', '', '', '', ''</v>
      </c>
      <c r="AK142" t="s">
        <v>268</v>
      </c>
    </row>
    <row r="143" spans="1:37" ht="14.4" hidden="1" x14ac:dyDescent="0.3">
      <c r="A143" s="44">
        <v>58</v>
      </c>
      <c r="B143" s="23">
        <v>0</v>
      </c>
      <c r="C143" s="23">
        <v>0</v>
      </c>
      <c r="D143" s="46">
        <f t="shared" si="4"/>
        <v>10058</v>
      </c>
      <c r="E143" s="65" t="str">
        <f t="shared" si="5"/>
        <v>RZS - INMOBILIARES TERMINALES DE GAS 58</v>
      </c>
      <c r="F143" s="59" t="str">
        <f t="shared" si="6"/>
        <v>RZS - INMOBILIARES TERMINALES DE GAS 58</v>
      </c>
      <c r="G143" s="41" t="str">
        <f t="shared" si="7"/>
        <v>RZS - INMO</v>
      </c>
      <c r="H143" s="44">
        <f t="shared" si="8"/>
        <v>58000</v>
      </c>
      <c r="I143" s="44">
        <v>1</v>
      </c>
      <c r="J143" s="31" t="s">
        <v>293</v>
      </c>
      <c r="K143" s="58" t="s">
        <v>300</v>
      </c>
      <c r="L143" s="46">
        <v>0</v>
      </c>
      <c r="M143" s="31" t="s">
        <v>294</v>
      </c>
      <c r="N143" s="46">
        <f t="shared" si="9"/>
        <v>58</v>
      </c>
      <c r="O143" s="31" t="s">
        <v>294</v>
      </c>
      <c r="P143" s="39" t="s">
        <v>139</v>
      </c>
      <c r="Q143" s="39" t="s">
        <v>139</v>
      </c>
      <c r="R143" s="39" t="s">
        <v>139</v>
      </c>
      <c r="S143" s="39" t="s">
        <v>139</v>
      </c>
      <c r="T143" s="39" t="s">
        <v>139</v>
      </c>
      <c r="U143" s="39" t="s">
        <v>139</v>
      </c>
      <c r="V143" s="39" t="s">
        <v>139</v>
      </c>
      <c r="W143" s="39" t="s">
        <v>139</v>
      </c>
      <c r="X143" s="39" t="s">
        <v>139</v>
      </c>
      <c r="Z143" s="40" t="str">
        <f t="shared" si="10"/>
        <v>EXECUTE [dbo].[PG_CI_UNIDAD_OPERATIVA] 0, 0, 10058, 'RZS - INMOBILIARES TERMINALES DE GAS 58', 'RZS - INMOBILIARES TERMINALES DE GAS 58', 'RZS - INMO', 58000, 1, 50, ?, 0, 0, 58, 0, '', '', '', '', '', '', '', '', ''</v>
      </c>
      <c r="AK143" t="s">
        <v>269</v>
      </c>
    </row>
    <row r="144" spans="1:37" ht="14.4" hidden="1" x14ac:dyDescent="0.3">
      <c r="A144" s="44">
        <v>59</v>
      </c>
      <c r="B144" s="23">
        <v>0</v>
      </c>
      <c r="C144" s="23">
        <v>0</v>
      </c>
      <c r="D144" s="46">
        <f t="shared" si="4"/>
        <v>10059</v>
      </c>
      <c r="E144" s="65" t="str">
        <f t="shared" si="5"/>
        <v>RZS - INMOBILIARIA TERMINALES DE GAS 59</v>
      </c>
      <c r="F144" s="59" t="str">
        <f t="shared" si="6"/>
        <v>RZS - INMOBILIARIA TERMINALES DE GAS 59</v>
      </c>
      <c r="G144" s="41" t="str">
        <f t="shared" si="7"/>
        <v>RZS - INMO</v>
      </c>
      <c r="H144" s="44">
        <f t="shared" si="8"/>
        <v>59000</v>
      </c>
      <c r="I144" s="44">
        <v>1</v>
      </c>
      <c r="J144" s="31" t="s">
        <v>293</v>
      </c>
      <c r="K144" s="58" t="s">
        <v>300</v>
      </c>
      <c r="L144" s="46">
        <v>0</v>
      </c>
      <c r="M144" s="31" t="s">
        <v>294</v>
      </c>
      <c r="N144" s="46">
        <f t="shared" si="9"/>
        <v>59</v>
      </c>
      <c r="O144" s="31" t="s">
        <v>294</v>
      </c>
      <c r="P144" s="39" t="s">
        <v>139</v>
      </c>
      <c r="Q144" s="39" t="s">
        <v>139</v>
      </c>
      <c r="R144" s="39" t="s">
        <v>139</v>
      </c>
      <c r="S144" s="39" t="s">
        <v>139</v>
      </c>
      <c r="T144" s="39" t="s">
        <v>139</v>
      </c>
      <c r="U144" s="39" t="s">
        <v>139</v>
      </c>
      <c r="V144" s="39" t="s">
        <v>139</v>
      </c>
      <c r="W144" s="39" t="s">
        <v>139</v>
      </c>
      <c r="X144" s="39" t="s">
        <v>139</v>
      </c>
      <c r="Z144" s="40" t="str">
        <f t="shared" si="10"/>
        <v>EXECUTE [dbo].[PG_CI_UNIDAD_OPERATIVA] 0, 0, 10059, 'RZS - INMOBILIARIA TERMINALES DE GAS 59', 'RZS - INMOBILIARIA TERMINALES DE GAS 59', 'RZS - INMO', 59000, 1, 50, ?, 0, 0, 59, 0, '', '', '', '', '', '', '', '', ''</v>
      </c>
      <c r="AK144" t="s">
        <v>270</v>
      </c>
    </row>
    <row r="145" spans="1:37" ht="14.4" hidden="1" x14ac:dyDescent="0.3">
      <c r="A145" s="44">
        <v>60</v>
      </c>
      <c r="B145" s="23">
        <v>0</v>
      </c>
      <c r="C145" s="23">
        <v>0</v>
      </c>
      <c r="D145" s="46">
        <f t="shared" si="4"/>
        <v>10060</v>
      </c>
      <c r="E145" s="65" t="str">
        <f t="shared" si="5"/>
        <v>RZS - SRA. MELINA SAMANTHA SANCHEZ SANTILLANA</v>
      </c>
      <c r="F145" s="59" t="str">
        <f t="shared" si="6"/>
        <v>RZS - SRA. MELINA SAMANTHA SANCHEZ SANTILLANA</v>
      </c>
      <c r="G145" s="41" t="str">
        <f t="shared" si="7"/>
        <v>RZS - SRA.</v>
      </c>
      <c r="H145" s="44">
        <f t="shared" si="8"/>
        <v>60000</v>
      </c>
      <c r="I145" s="44">
        <v>1</v>
      </c>
      <c r="J145" s="31" t="s">
        <v>293</v>
      </c>
      <c r="K145" s="58" t="s">
        <v>300</v>
      </c>
      <c r="L145" s="46">
        <v>0</v>
      </c>
      <c r="M145" s="31" t="s">
        <v>294</v>
      </c>
      <c r="N145" s="46">
        <f t="shared" si="9"/>
        <v>60</v>
      </c>
      <c r="O145" s="31" t="s">
        <v>294</v>
      </c>
      <c r="P145" s="39" t="s">
        <v>139</v>
      </c>
      <c r="Q145" s="39" t="s">
        <v>139</v>
      </c>
      <c r="R145" s="39" t="s">
        <v>139</v>
      </c>
      <c r="S145" s="39" t="s">
        <v>139</v>
      </c>
      <c r="T145" s="39" t="s">
        <v>139</v>
      </c>
      <c r="U145" s="39" t="s">
        <v>139</v>
      </c>
      <c r="V145" s="39" t="s">
        <v>139</v>
      </c>
      <c r="W145" s="39" t="s">
        <v>139</v>
      </c>
      <c r="X145" s="39" t="s">
        <v>139</v>
      </c>
      <c r="Z145" s="40" t="str">
        <f t="shared" si="10"/>
        <v>EXECUTE [dbo].[PG_CI_UNIDAD_OPERATIVA] 0, 0, 10060, 'RZS - SRA. MELINA SAMANTHA SANCHEZ SANTILLANA', 'RZS - SRA. MELINA SAMANTHA SANCHEZ SANTILLANA', 'RZS - SRA.', 60000, 1, 50, ?, 0, 0, 60, 0, '', '', '', '', '', '', '', '', ''</v>
      </c>
      <c r="AK145" t="s">
        <v>271</v>
      </c>
    </row>
    <row r="146" spans="1:37" ht="14.4" hidden="1" x14ac:dyDescent="0.3">
      <c r="A146" s="44">
        <v>61</v>
      </c>
      <c r="B146" s="23">
        <v>0</v>
      </c>
      <c r="C146" s="23">
        <v>0</v>
      </c>
      <c r="D146" s="46">
        <f t="shared" si="4"/>
        <v>10061</v>
      </c>
      <c r="E146" s="65" t="str">
        <f t="shared" si="5"/>
        <v>RZS - FUNDACION ALBERTO ZARAGOZA 61</v>
      </c>
      <c r="F146" s="59" t="str">
        <f t="shared" si="6"/>
        <v>RZS - FUNDACION ALBERTO ZARAGOZA 61</v>
      </c>
      <c r="G146" s="41" t="str">
        <f t="shared" si="7"/>
        <v>RZS - FUND</v>
      </c>
      <c r="H146" s="44">
        <f t="shared" si="8"/>
        <v>61000</v>
      </c>
      <c r="I146" s="44">
        <v>1</v>
      </c>
      <c r="J146" s="31" t="s">
        <v>293</v>
      </c>
      <c r="K146" s="58" t="s">
        <v>300</v>
      </c>
      <c r="L146" s="46">
        <v>0</v>
      </c>
      <c r="M146" s="31" t="s">
        <v>294</v>
      </c>
      <c r="N146" s="46">
        <f t="shared" si="9"/>
        <v>61</v>
      </c>
      <c r="O146" s="31" t="s">
        <v>294</v>
      </c>
      <c r="P146" s="39" t="s">
        <v>139</v>
      </c>
      <c r="Q146" s="39" t="s">
        <v>139</v>
      </c>
      <c r="R146" s="39" t="s">
        <v>139</v>
      </c>
      <c r="S146" s="39" t="s">
        <v>139</v>
      </c>
      <c r="T146" s="39" t="s">
        <v>139</v>
      </c>
      <c r="U146" s="39" t="s">
        <v>139</v>
      </c>
      <c r="V146" s="39" t="s">
        <v>139</v>
      </c>
      <c r="W146" s="39" t="s">
        <v>139</v>
      </c>
      <c r="X146" s="39" t="s">
        <v>139</v>
      </c>
      <c r="Z146" s="40" t="str">
        <f t="shared" si="10"/>
        <v>EXECUTE [dbo].[PG_CI_UNIDAD_OPERATIVA] 0, 0, 10061, 'RZS - FUNDACION ALBERTO ZARAGOZA 61', 'RZS - FUNDACION ALBERTO ZARAGOZA 61', 'RZS - FUND', 61000, 1, 50, ?, 0, 0, 61, 0, '', '', '', '', '', '', '', '', ''</v>
      </c>
      <c r="AK146" t="s">
        <v>272</v>
      </c>
    </row>
    <row r="147" spans="1:37" ht="14.4" hidden="1" x14ac:dyDescent="0.3">
      <c r="A147" s="44">
        <v>62</v>
      </c>
      <c r="B147" s="23">
        <v>0</v>
      </c>
      <c r="C147" s="23">
        <v>0</v>
      </c>
      <c r="D147" s="46">
        <f t="shared" si="4"/>
        <v>10062</v>
      </c>
      <c r="E147" s="65" t="str">
        <f t="shared" si="5"/>
        <v>RZS - INMOBILIARIA ERNESIL</v>
      </c>
      <c r="F147" s="59" t="str">
        <f t="shared" si="6"/>
        <v>RZS - INMOBILIARIA ERNESIL</v>
      </c>
      <c r="G147" s="41" t="str">
        <f t="shared" si="7"/>
        <v>RZS - INMO</v>
      </c>
      <c r="H147" s="44">
        <f t="shared" si="8"/>
        <v>62000</v>
      </c>
      <c r="I147" s="44">
        <v>1</v>
      </c>
      <c r="J147" s="31" t="s">
        <v>293</v>
      </c>
      <c r="K147" s="58" t="s">
        <v>300</v>
      </c>
      <c r="L147" s="46">
        <v>0</v>
      </c>
      <c r="M147" s="31" t="s">
        <v>294</v>
      </c>
      <c r="N147" s="46">
        <f t="shared" si="9"/>
        <v>62</v>
      </c>
      <c r="O147" s="31" t="s">
        <v>294</v>
      </c>
      <c r="P147" s="39" t="s">
        <v>139</v>
      </c>
      <c r="Q147" s="39" t="s">
        <v>139</v>
      </c>
      <c r="R147" s="39" t="s">
        <v>139</v>
      </c>
      <c r="S147" s="39" t="s">
        <v>139</v>
      </c>
      <c r="T147" s="39" t="s">
        <v>139</v>
      </c>
      <c r="U147" s="39" t="s">
        <v>139</v>
      </c>
      <c r="V147" s="39" t="s">
        <v>139</v>
      </c>
      <c r="W147" s="39" t="s">
        <v>139</v>
      </c>
      <c r="X147" s="39" t="s">
        <v>139</v>
      </c>
      <c r="Z147" s="40" t="str">
        <f t="shared" si="10"/>
        <v>EXECUTE [dbo].[PG_CI_UNIDAD_OPERATIVA] 0, 0, 10062, 'RZS - INMOBILIARIA ERNESIL', 'RZS - INMOBILIARIA ERNESIL', 'RZS - INMO', 62000, 1, 50, ?, 0, 0, 62, 0, '', '', '', '', '', '', '', '', ''</v>
      </c>
      <c r="AK147" t="s">
        <v>273</v>
      </c>
    </row>
    <row r="148" spans="1:37" ht="14.4" hidden="1" x14ac:dyDescent="0.3">
      <c r="A148" s="44">
        <v>63</v>
      </c>
      <c r="B148" s="23">
        <v>0</v>
      </c>
      <c r="C148" s="23">
        <v>0</v>
      </c>
      <c r="D148" s="46">
        <f t="shared" si="4"/>
        <v>10063</v>
      </c>
      <c r="E148" s="65" t="str">
        <f t="shared" si="5"/>
        <v>RZS - INMOBILIARIA UNIGAS</v>
      </c>
      <c r="F148" s="59" t="str">
        <f t="shared" si="6"/>
        <v>RZS - INMOBILIARIA UNIGAS</v>
      </c>
      <c r="G148" s="41" t="str">
        <f t="shared" si="7"/>
        <v>RZS - INMO</v>
      </c>
      <c r="H148" s="44">
        <f t="shared" si="8"/>
        <v>63000</v>
      </c>
      <c r="I148" s="44">
        <v>1</v>
      </c>
      <c r="J148" s="31" t="s">
        <v>293</v>
      </c>
      <c r="K148" s="58" t="s">
        <v>300</v>
      </c>
      <c r="L148" s="46">
        <v>0</v>
      </c>
      <c r="M148" s="31" t="s">
        <v>294</v>
      </c>
      <c r="N148" s="46">
        <f t="shared" si="9"/>
        <v>63</v>
      </c>
      <c r="O148" s="31" t="s">
        <v>294</v>
      </c>
      <c r="P148" s="39" t="s">
        <v>139</v>
      </c>
      <c r="Q148" s="39" t="s">
        <v>139</v>
      </c>
      <c r="R148" s="39" t="s">
        <v>139</v>
      </c>
      <c r="S148" s="39" t="s">
        <v>139</v>
      </c>
      <c r="T148" s="39" t="s">
        <v>139</v>
      </c>
      <c r="U148" s="39" t="s">
        <v>139</v>
      </c>
      <c r="V148" s="39" t="s">
        <v>139</v>
      </c>
      <c r="W148" s="39" t="s">
        <v>139</v>
      </c>
      <c r="X148" s="39" t="s">
        <v>139</v>
      </c>
      <c r="Z148" s="40" t="str">
        <f t="shared" si="10"/>
        <v>EXECUTE [dbo].[PG_CI_UNIDAD_OPERATIVA] 0, 0, 10063, 'RZS - INMOBILIARIA UNIGAS', 'RZS - INMOBILIARIA UNIGAS', 'RZS - INMO', 63000, 1, 50, ?, 0, 0, 63, 0, '', '', '', '', '', '', '', '', ''</v>
      </c>
      <c r="AK148" t="s">
        <v>274</v>
      </c>
    </row>
    <row r="149" spans="1:37" ht="14.4" hidden="1" x14ac:dyDescent="0.3">
      <c r="A149" s="44">
        <v>64</v>
      </c>
      <c r="B149" s="23">
        <v>0</v>
      </c>
      <c r="C149" s="23">
        <v>0</v>
      </c>
      <c r="D149" s="46">
        <f t="shared" si="4"/>
        <v>10064</v>
      </c>
      <c r="E149" s="65" t="str">
        <f t="shared" si="5"/>
        <v>RZS - SILVIA ITO VARELA</v>
      </c>
      <c r="F149" s="59" t="str">
        <f t="shared" si="6"/>
        <v>RZS - SILVIA ITO VARELA</v>
      </c>
      <c r="G149" s="41" t="str">
        <f t="shared" si="7"/>
        <v>RZS - SILV</v>
      </c>
      <c r="H149" s="44">
        <f t="shared" si="8"/>
        <v>64000</v>
      </c>
      <c r="I149" s="44">
        <v>1</v>
      </c>
      <c r="J149" s="31" t="s">
        <v>293</v>
      </c>
      <c r="K149" s="58" t="s">
        <v>300</v>
      </c>
      <c r="L149" s="46">
        <v>0</v>
      </c>
      <c r="M149" s="31" t="s">
        <v>294</v>
      </c>
      <c r="N149" s="46">
        <f t="shared" si="9"/>
        <v>64</v>
      </c>
      <c r="O149" s="31" t="s">
        <v>294</v>
      </c>
      <c r="P149" s="39" t="s">
        <v>139</v>
      </c>
      <c r="Q149" s="39" t="s">
        <v>139</v>
      </c>
      <c r="R149" s="39" t="s">
        <v>139</v>
      </c>
      <c r="S149" s="39" t="s">
        <v>139</v>
      </c>
      <c r="T149" s="39" t="s">
        <v>139</v>
      </c>
      <c r="U149" s="39" t="s">
        <v>139</v>
      </c>
      <c r="V149" s="39" t="s">
        <v>139</v>
      </c>
      <c r="W149" s="39" t="s">
        <v>139</v>
      </c>
      <c r="X149" s="39" t="s">
        <v>139</v>
      </c>
      <c r="Z149" s="40" t="str">
        <f t="shared" si="10"/>
        <v>EXECUTE [dbo].[PG_CI_UNIDAD_OPERATIVA] 0, 0, 10064, 'RZS - SILVIA ITO VARELA', 'RZS - SILVIA ITO VARELA', 'RZS - SILV', 64000, 1, 50, ?, 0, 0, 64, 0, '', '', '', '', '', '', '', '', ''</v>
      </c>
      <c r="AK149" t="s">
        <v>275</v>
      </c>
    </row>
    <row r="150" spans="1:37" ht="14.4" hidden="1" x14ac:dyDescent="0.3">
      <c r="A150" s="44">
        <v>67</v>
      </c>
      <c r="B150" s="23">
        <v>0</v>
      </c>
      <c r="C150" s="23">
        <v>0</v>
      </c>
      <c r="D150" s="46">
        <f t="shared" si="4"/>
        <v>10067</v>
      </c>
      <c r="E150" s="65" t="str">
        <f t="shared" si="5"/>
        <v>RZS - TRANSPORTADORA SILZA USA</v>
      </c>
      <c r="F150" s="59" t="str">
        <f t="shared" si="6"/>
        <v>RZS - TRANSPORTADORA SILZA USA</v>
      </c>
      <c r="G150" s="41" t="str">
        <f t="shared" si="7"/>
        <v>RZS - TRAN</v>
      </c>
      <c r="H150" s="44">
        <f t="shared" si="8"/>
        <v>67000</v>
      </c>
      <c r="I150" s="44">
        <v>1</v>
      </c>
      <c r="J150" s="31" t="s">
        <v>293</v>
      </c>
      <c r="K150" s="58" t="s">
        <v>300</v>
      </c>
      <c r="L150" s="46">
        <v>0</v>
      </c>
      <c r="M150" s="31" t="s">
        <v>294</v>
      </c>
      <c r="N150" s="46">
        <f t="shared" si="9"/>
        <v>67</v>
      </c>
      <c r="O150" s="31" t="s">
        <v>294</v>
      </c>
      <c r="P150" s="39" t="s">
        <v>139</v>
      </c>
      <c r="Q150" s="39" t="s">
        <v>139</v>
      </c>
      <c r="R150" s="39" t="s">
        <v>139</v>
      </c>
      <c r="S150" s="39" t="s">
        <v>139</v>
      </c>
      <c r="T150" s="39" t="s">
        <v>139</v>
      </c>
      <c r="U150" s="39" t="s">
        <v>139</v>
      </c>
      <c r="V150" s="39" t="s">
        <v>139</v>
      </c>
      <c r="W150" s="39" t="s">
        <v>139</v>
      </c>
      <c r="X150" s="39" t="s">
        <v>139</v>
      </c>
      <c r="Z150" s="40" t="str">
        <f t="shared" si="10"/>
        <v>EXECUTE [dbo].[PG_CI_UNIDAD_OPERATIVA] 0, 0, 10067, 'RZS - TRANSPORTADORA SILZA USA', 'RZS - TRANSPORTADORA SILZA USA', 'RZS - TRAN', 67000, 1, 50, ?, 0, 0, 67, 0, '', '', '', '', '', '', '', '', ''</v>
      </c>
      <c r="AK150" t="s">
        <v>276</v>
      </c>
    </row>
    <row r="151" spans="1:37" ht="14.4" hidden="1" x14ac:dyDescent="0.3">
      <c r="A151" s="44">
        <v>69</v>
      </c>
      <c r="B151" s="23">
        <v>0</v>
      </c>
      <c r="C151" s="23">
        <v>0</v>
      </c>
      <c r="D151" s="46">
        <f t="shared" si="4"/>
        <v>10069</v>
      </c>
      <c r="E151" s="65" t="str">
        <f t="shared" si="5"/>
        <v>RZS - FUNDACION ALBERTO ZARAGOZA 69</v>
      </c>
      <c r="F151" s="59" t="str">
        <f t="shared" si="6"/>
        <v>RZS - FUNDACION ALBERTO ZARAGOZA 69</v>
      </c>
      <c r="G151" s="41" t="str">
        <f t="shared" si="7"/>
        <v>RZS - FUND</v>
      </c>
      <c r="H151" s="44">
        <f t="shared" si="8"/>
        <v>69000</v>
      </c>
      <c r="I151" s="44">
        <v>1</v>
      </c>
      <c r="J151" s="31" t="s">
        <v>293</v>
      </c>
      <c r="K151" s="58" t="s">
        <v>300</v>
      </c>
      <c r="L151" s="46">
        <v>0</v>
      </c>
      <c r="M151" s="31" t="s">
        <v>294</v>
      </c>
      <c r="N151" s="46">
        <f t="shared" si="9"/>
        <v>69</v>
      </c>
      <c r="O151" s="31" t="s">
        <v>294</v>
      </c>
      <c r="P151" s="39" t="s">
        <v>139</v>
      </c>
      <c r="Q151" s="39" t="s">
        <v>139</v>
      </c>
      <c r="R151" s="39" t="s">
        <v>139</v>
      </c>
      <c r="S151" s="39" t="s">
        <v>139</v>
      </c>
      <c r="T151" s="39" t="s">
        <v>139</v>
      </c>
      <c r="U151" s="39" t="s">
        <v>139</v>
      </c>
      <c r="V151" s="39" t="s">
        <v>139</v>
      </c>
      <c r="W151" s="39" t="s">
        <v>139</v>
      </c>
      <c r="X151" s="39" t="s">
        <v>139</v>
      </c>
      <c r="Z151" s="40" t="str">
        <f t="shared" si="10"/>
        <v>EXECUTE [dbo].[PG_CI_UNIDAD_OPERATIVA] 0, 0, 10069, 'RZS - FUNDACION ALBERTO ZARAGOZA 69', 'RZS - FUNDACION ALBERTO ZARAGOZA 69', 'RZS - FUND', 69000, 1, 50, ?, 0, 0, 69, 0, '', '', '', '', '', '', '', '', ''</v>
      </c>
      <c r="AK151" t="s">
        <v>277</v>
      </c>
    </row>
    <row r="152" spans="1:37" ht="14.4" hidden="1" x14ac:dyDescent="0.3">
      <c r="A152" s="44">
        <v>70</v>
      </c>
      <c r="B152" s="23">
        <v>0</v>
      </c>
      <c r="C152" s="23">
        <v>0</v>
      </c>
      <c r="D152" s="46">
        <f t="shared" si="4"/>
        <v>10070</v>
      </c>
      <c r="E152" s="65" t="str">
        <f t="shared" si="5"/>
        <v>RZS - INMOBILIAIRA EZI 70</v>
      </c>
      <c r="F152" s="59" t="str">
        <f t="shared" si="6"/>
        <v>RZS - INMOBILIAIRA EZI 70</v>
      </c>
      <c r="G152" s="41" t="str">
        <f t="shared" si="7"/>
        <v>RZS - INMO</v>
      </c>
      <c r="H152" s="44">
        <f t="shared" si="8"/>
        <v>70000</v>
      </c>
      <c r="I152" s="44">
        <v>1</v>
      </c>
      <c r="J152" s="31" t="s">
        <v>293</v>
      </c>
      <c r="K152" s="58" t="s">
        <v>300</v>
      </c>
      <c r="L152" s="46">
        <v>0</v>
      </c>
      <c r="M152" s="31" t="s">
        <v>294</v>
      </c>
      <c r="N152" s="46">
        <f t="shared" si="9"/>
        <v>70</v>
      </c>
      <c r="O152" s="31" t="s">
        <v>294</v>
      </c>
      <c r="P152" s="39" t="s">
        <v>139</v>
      </c>
      <c r="Q152" s="39" t="s">
        <v>139</v>
      </c>
      <c r="R152" s="39" t="s">
        <v>139</v>
      </c>
      <c r="S152" s="39" t="s">
        <v>139</v>
      </c>
      <c r="T152" s="39" t="s">
        <v>139</v>
      </c>
      <c r="U152" s="39" t="s">
        <v>139</v>
      </c>
      <c r="V152" s="39" t="s">
        <v>139</v>
      </c>
      <c r="W152" s="39" t="s">
        <v>139</v>
      </c>
      <c r="X152" s="39" t="s">
        <v>139</v>
      </c>
      <c r="Z152" s="40" t="str">
        <f t="shared" si="10"/>
        <v>EXECUTE [dbo].[PG_CI_UNIDAD_OPERATIVA] 0, 0, 10070, 'RZS - INMOBILIAIRA EZI 70', 'RZS - INMOBILIAIRA EZI 70', 'RZS - INMO', 70000, 1, 50, ?, 0, 0, 70, 0, '', '', '', '', '', '', '', '', ''</v>
      </c>
      <c r="AK152" t="s">
        <v>278</v>
      </c>
    </row>
    <row r="153" spans="1:37" ht="14.4" hidden="1" x14ac:dyDescent="0.3">
      <c r="A153" s="44">
        <v>71</v>
      </c>
      <c r="B153" s="23">
        <v>0</v>
      </c>
      <c r="C153" s="23">
        <v>0</v>
      </c>
      <c r="D153" s="46">
        <f t="shared" ref="D153:D168" si="11">A153+10000</f>
        <v>10071</v>
      </c>
      <c r="E153" s="65" t="str">
        <f t="shared" ref="E153:E168" si="12">CONCATENATE("RZS - ",AK153)</f>
        <v>RZS - INMOBILIARIA EZI 71</v>
      </c>
      <c r="F153" s="59" t="str">
        <f t="shared" ref="F153:F168" si="13">E153</f>
        <v>RZS - INMOBILIARIA EZI 71</v>
      </c>
      <c r="G153" s="41" t="str">
        <f t="shared" ref="G153:G168" si="14">LEFT(E153,10)</f>
        <v>RZS - INMO</v>
      </c>
      <c r="H153" s="44">
        <f t="shared" ref="H153:H168" si="15">A153*1000</f>
        <v>71000</v>
      </c>
      <c r="I153" s="44">
        <v>1</v>
      </c>
      <c r="J153" s="31" t="s">
        <v>293</v>
      </c>
      <c r="K153" s="58" t="s">
        <v>300</v>
      </c>
      <c r="L153" s="46">
        <v>0</v>
      </c>
      <c r="M153" s="31" t="s">
        <v>294</v>
      </c>
      <c r="N153" s="46">
        <f t="shared" ref="N153:N168" si="16">A153</f>
        <v>71</v>
      </c>
      <c r="O153" s="31" t="s">
        <v>294</v>
      </c>
      <c r="P153" s="39" t="s">
        <v>139</v>
      </c>
      <c r="Q153" s="39" t="s">
        <v>139</v>
      </c>
      <c r="R153" s="39" t="s">
        <v>139</v>
      </c>
      <c r="S153" s="39" t="s">
        <v>139</v>
      </c>
      <c r="T153" s="39" t="s">
        <v>139</v>
      </c>
      <c r="U153" s="39" t="s">
        <v>139</v>
      </c>
      <c r="V153" s="39" t="s">
        <v>139</v>
      </c>
      <c r="W153" s="39" t="s">
        <v>139</v>
      </c>
      <c r="X153" s="39" t="s">
        <v>139</v>
      </c>
      <c r="Z153" s="40" t="str">
        <f t="shared" si="10"/>
        <v>EXECUTE [dbo].[PG_CI_UNIDAD_OPERATIVA] 0, 0, 10071, 'RZS - INMOBILIARIA EZI 71', 'RZS - INMOBILIARIA EZI 71', 'RZS - INMO', 71000, 1, 50, ?, 0, 0, 71, 0, '', '', '', '', '', '', '', '', ''</v>
      </c>
      <c r="AK153" t="s">
        <v>279</v>
      </c>
    </row>
    <row r="154" spans="1:37" ht="14.4" hidden="1" x14ac:dyDescent="0.3">
      <c r="A154" s="44">
        <v>75</v>
      </c>
      <c r="B154" s="23">
        <v>0</v>
      </c>
      <c r="C154" s="23">
        <v>0</v>
      </c>
      <c r="D154" s="46">
        <f t="shared" si="11"/>
        <v>10075</v>
      </c>
      <c r="E154" s="65" t="str">
        <f t="shared" si="12"/>
        <v>RZS - TOMZAJET</v>
      </c>
      <c r="F154" s="59" t="str">
        <f t="shared" si="13"/>
        <v>RZS - TOMZAJET</v>
      </c>
      <c r="G154" s="41" t="str">
        <f t="shared" si="14"/>
        <v>RZS - TOMZ</v>
      </c>
      <c r="H154" s="44">
        <f t="shared" si="15"/>
        <v>75000</v>
      </c>
      <c r="I154" s="44">
        <v>1</v>
      </c>
      <c r="J154" s="31" t="s">
        <v>293</v>
      </c>
      <c r="K154" s="58" t="s">
        <v>300</v>
      </c>
      <c r="L154" s="46">
        <v>0</v>
      </c>
      <c r="M154" s="31" t="s">
        <v>294</v>
      </c>
      <c r="N154" s="46">
        <f t="shared" si="16"/>
        <v>75</v>
      </c>
      <c r="O154" s="31" t="s">
        <v>294</v>
      </c>
      <c r="P154" s="39" t="s">
        <v>139</v>
      </c>
      <c r="Q154" s="39" t="s">
        <v>139</v>
      </c>
      <c r="R154" s="39" t="s">
        <v>139</v>
      </c>
      <c r="S154" s="39" t="s">
        <v>139</v>
      </c>
      <c r="T154" s="39" t="s">
        <v>139</v>
      </c>
      <c r="U154" s="39" t="s">
        <v>139</v>
      </c>
      <c r="V154" s="39" t="s">
        <v>139</v>
      </c>
      <c r="W154" s="39" t="s">
        <v>139</v>
      </c>
      <c r="X154" s="39" t="s">
        <v>139</v>
      </c>
      <c r="Z154" s="40" t="str">
        <f t="shared" si="10"/>
        <v>EXECUTE [dbo].[PG_CI_UNIDAD_OPERATIVA] 0, 0, 10075, 'RZS - TOMZAJET', 'RZS - TOMZAJET', 'RZS - TOMZ', 75000, 1, 50, ?, 0, 0, 75, 0, '', '', '', '', '', '', '', '', ''</v>
      </c>
      <c r="AK154" t="s">
        <v>280</v>
      </c>
    </row>
    <row r="155" spans="1:37" ht="14.4" hidden="1" x14ac:dyDescent="0.3">
      <c r="A155" s="44">
        <v>76</v>
      </c>
      <c r="B155" s="23">
        <v>0</v>
      </c>
      <c r="C155" s="23">
        <v>0</v>
      </c>
      <c r="D155" s="46">
        <f t="shared" si="11"/>
        <v>10076</v>
      </c>
      <c r="E155" s="65" t="str">
        <f t="shared" si="12"/>
        <v>RZS - TRANSPORTADORA TOMZA</v>
      </c>
      <c r="F155" s="59" t="str">
        <f t="shared" si="13"/>
        <v>RZS - TRANSPORTADORA TOMZA</v>
      </c>
      <c r="G155" s="41" t="str">
        <f t="shared" si="14"/>
        <v>RZS - TRAN</v>
      </c>
      <c r="H155" s="44">
        <f t="shared" si="15"/>
        <v>76000</v>
      </c>
      <c r="I155" s="44">
        <v>1</v>
      </c>
      <c r="J155" s="31" t="s">
        <v>293</v>
      </c>
      <c r="K155" s="58" t="s">
        <v>300</v>
      </c>
      <c r="L155" s="46">
        <v>0</v>
      </c>
      <c r="M155" s="31" t="s">
        <v>294</v>
      </c>
      <c r="N155" s="46">
        <f t="shared" si="16"/>
        <v>76</v>
      </c>
      <c r="O155" s="31" t="s">
        <v>294</v>
      </c>
      <c r="P155" s="39" t="s">
        <v>139</v>
      </c>
      <c r="Q155" s="39" t="s">
        <v>139</v>
      </c>
      <c r="R155" s="39" t="s">
        <v>139</v>
      </c>
      <c r="S155" s="39" t="s">
        <v>139</v>
      </c>
      <c r="T155" s="39" t="s">
        <v>139</v>
      </c>
      <c r="U155" s="39" t="s">
        <v>139</v>
      </c>
      <c r="V155" s="39" t="s">
        <v>139</v>
      </c>
      <c r="W155" s="39" t="s">
        <v>139</v>
      </c>
      <c r="X155" s="39" t="s">
        <v>139</v>
      </c>
      <c r="Z155" s="40" t="str">
        <f t="shared" si="10"/>
        <v>EXECUTE [dbo].[PG_CI_UNIDAD_OPERATIVA] 0, 0, 10076, 'RZS - TRANSPORTADORA TOMZA', 'RZS - TRANSPORTADORA TOMZA', 'RZS - TRAN', 76000, 1, 50, ?, 0, 0, 76, 0, '', '', '', '', '', '', '', '', ''</v>
      </c>
      <c r="AK155" t="s">
        <v>281</v>
      </c>
    </row>
    <row r="156" spans="1:37" ht="14.4" hidden="1" x14ac:dyDescent="0.3">
      <c r="A156" s="44">
        <v>77</v>
      </c>
      <c r="B156" s="23">
        <v>0</v>
      </c>
      <c r="C156" s="23">
        <v>0</v>
      </c>
      <c r="D156" s="46">
        <f t="shared" si="11"/>
        <v>10077</v>
      </c>
      <c r="E156" s="65" t="str">
        <f t="shared" si="12"/>
        <v>RZS - GINZA HOLDING</v>
      </c>
      <c r="F156" s="59" t="str">
        <f t="shared" si="13"/>
        <v>RZS - GINZA HOLDING</v>
      </c>
      <c r="G156" s="41" t="str">
        <f t="shared" si="14"/>
        <v>RZS - GINZ</v>
      </c>
      <c r="H156" s="44">
        <f t="shared" si="15"/>
        <v>77000</v>
      </c>
      <c r="I156" s="44">
        <v>1</v>
      </c>
      <c r="J156" s="31" t="s">
        <v>293</v>
      </c>
      <c r="K156" s="58" t="s">
        <v>300</v>
      </c>
      <c r="L156" s="46">
        <v>0</v>
      </c>
      <c r="M156" s="31" t="s">
        <v>294</v>
      </c>
      <c r="N156" s="46">
        <f t="shared" si="16"/>
        <v>77</v>
      </c>
      <c r="O156" s="31" t="s">
        <v>294</v>
      </c>
      <c r="P156" s="39" t="s">
        <v>139</v>
      </c>
      <c r="Q156" s="39" t="s">
        <v>139</v>
      </c>
      <c r="R156" s="39" t="s">
        <v>139</v>
      </c>
      <c r="S156" s="39" t="s">
        <v>139</v>
      </c>
      <c r="T156" s="39" t="s">
        <v>139</v>
      </c>
      <c r="U156" s="39" t="s">
        <v>139</v>
      </c>
      <c r="V156" s="39" t="s">
        <v>139</v>
      </c>
      <c r="W156" s="39" t="s">
        <v>139</v>
      </c>
      <c r="X156" s="39" t="s">
        <v>139</v>
      </c>
      <c r="Z156" s="40" t="str">
        <f t="shared" si="10"/>
        <v>EXECUTE [dbo].[PG_CI_UNIDAD_OPERATIVA] 0, 0, 10077, 'RZS - GINZA HOLDING', 'RZS - GINZA HOLDING', 'RZS - GINZ', 77000, 1, 50, ?, 0, 0, 77, 0, '', '', '', '', '', '', '', '', ''</v>
      </c>
      <c r="AK156" t="s">
        <v>282</v>
      </c>
    </row>
    <row r="157" spans="1:37" ht="14.4" hidden="1" x14ac:dyDescent="0.3">
      <c r="A157" s="44">
        <v>78</v>
      </c>
      <c r="B157" s="23">
        <v>0</v>
      </c>
      <c r="C157" s="23">
        <v>0</v>
      </c>
      <c r="D157" s="46">
        <f t="shared" si="11"/>
        <v>10078</v>
      </c>
      <c r="E157" s="65" t="str">
        <f t="shared" si="12"/>
        <v>RZS - INMOBILIARIA AVANCE DEL NORTE</v>
      </c>
      <c r="F157" s="59" t="str">
        <f t="shared" si="13"/>
        <v>RZS - INMOBILIARIA AVANCE DEL NORTE</v>
      </c>
      <c r="G157" s="41" t="str">
        <f t="shared" si="14"/>
        <v>RZS - INMO</v>
      </c>
      <c r="H157" s="44">
        <f t="shared" si="15"/>
        <v>78000</v>
      </c>
      <c r="I157" s="44">
        <v>1</v>
      </c>
      <c r="J157" s="31" t="s">
        <v>293</v>
      </c>
      <c r="K157" s="58" t="s">
        <v>300</v>
      </c>
      <c r="L157" s="46">
        <v>0</v>
      </c>
      <c r="M157" s="31" t="s">
        <v>294</v>
      </c>
      <c r="N157" s="46">
        <f t="shared" si="16"/>
        <v>78</v>
      </c>
      <c r="O157" s="31" t="s">
        <v>294</v>
      </c>
      <c r="P157" s="39" t="s">
        <v>139</v>
      </c>
      <c r="Q157" s="39" t="s">
        <v>139</v>
      </c>
      <c r="R157" s="39" t="s">
        <v>139</v>
      </c>
      <c r="S157" s="39" t="s">
        <v>139</v>
      </c>
      <c r="T157" s="39" t="s">
        <v>139</v>
      </c>
      <c r="U157" s="39" t="s">
        <v>139</v>
      </c>
      <c r="V157" s="39" t="s">
        <v>139</v>
      </c>
      <c r="W157" s="39" t="s">
        <v>139</v>
      </c>
      <c r="X157" s="39" t="s">
        <v>139</v>
      </c>
      <c r="Z157" s="40" t="str">
        <f t="shared" si="10"/>
        <v>EXECUTE [dbo].[PG_CI_UNIDAD_OPERATIVA] 0, 0, 10078, 'RZS - INMOBILIARIA AVANCE DEL NORTE', 'RZS - INMOBILIARIA AVANCE DEL NORTE', 'RZS - INMO', 78000, 1, 50, ?, 0, 0, 78, 0, '', '', '', '', '', '', '', '', ''</v>
      </c>
      <c r="AK157" t="s">
        <v>283</v>
      </c>
    </row>
    <row r="158" spans="1:37" ht="14.4" hidden="1" x14ac:dyDescent="0.3">
      <c r="A158" s="44">
        <v>79</v>
      </c>
      <c r="B158" s="23">
        <v>0</v>
      </c>
      <c r="C158" s="23">
        <v>0</v>
      </c>
      <c r="D158" s="46">
        <f t="shared" si="11"/>
        <v>10079</v>
      </c>
      <c r="E158" s="65" t="str">
        <f t="shared" si="12"/>
        <v>RZS - INMOBILIARIA INDUSTRIAL Y FABRIL</v>
      </c>
      <c r="F158" s="59" t="str">
        <f t="shared" si="13"/>
        <v>RZS - INMOBILIARIA INDUSTRIAL Y FABRIL</v>
      </c>
      <c r="G158" s="41" t="str">
        <f t="shared" si="14"/>
        <v>RZS - INMO</v>
      </c>
      <c r="H158" s="44">
        <f t="shared" si="15"/>
        <v>79000</v>
      </c>
      <c r="I158" s="44">
        <v>1</v>
      </c>
      <c r="J158" s="31" t="s">
        <v>293</v>
      </c>
      <c r="K158" s="58" t="s">
        <v>300</v>
      </c>
      <c r="L158" s="46">
        <v>0</v>
      </c>
      <c r="M158" s="31" t="s">
        <v>294</v>
      </c>
      <c r="N158" s="46">
        <f t="shared" si="16"/>
        <v>79</v>
      </c>
      <c r="O158" s="31" t="s">
        <v>294</v>
      </c>
      <c r="P158" s="39" t="s">
        <v>139</v>
      </c>
      <c r="Q158" s="39" t="s">
        <v>139</v>
      </c>
      <c r="R158" s="39" t="s">
        <v>139</v>
      </c>
      <c r="S158" s="39" t="s">
        <v>139</v>
      </c>
      <c r="T158" s="39" t="s">
        <v>139</v>
      </c>
      <c r="U158" s="39" t="s">
        <v>139</v>
      </c>
      <c r="V158" s="39" t="s">
        <v>139</v>
      </c>
      <c r="W158" s="39" t="s">
        <v>139</v>
      </c>
      <c r="X158" s="39" t="s">
        <v>139</v>
      </c>
      <c r="Z158" s="40" t="str">
        <f t="shared" si="10"/>
        <v>EXECUTE [dbo].[PG_CI_UNIDAD_OPERATIVA] 0, 0, 10079, 'RZS - INMOBILIARIA INDUSTRIAL Y FABRIL', 'RZS - INMOBILIARIA INDUSTRIAL Y FABRIL', 'RZS - INMO', 79000, 1, 50, ?, 0, 0, 79, 0, '', '', '', '', '', '', '', '', ''</v>
      </c>
      <c r="AK158" t="s">
        <v>284</v>
      </c>
    </row>
    <row r="159" spans="1:37" ht="14.4" hidden="1" x14ac:dyDescent="0.3">
      <c r="A159" s="44">
        <v>80</v>
      </c>
      <c r="B159" s="23">
        <v>0</v>
      </c>
      <c r="C159" s="23">
        <v>0</v>
      </c>
      <c r="D159" s="46">
        <f t="shared" si="11"/>
        <v>10080</v>
      </c>
      <c r="E159" s="65" t="str">
        <f t="shared" si="12"/>
        <v>RZS - PETROLEOS Y GAS DEL GOLFO</v>
      </c>
      <c r="F159" s="59" t="str">
        <f t="shared" si="13"/>
        <v>RZS - PETROLEOS Y GAS DEL GOLFO</v>
      </c>
      <c r="G159" s="41" t="str">
        <f t="shared" si="14"/>
        <v>RZS - PETR</v>
      </c>
      <c r="H159" s="44">
        <f t="shared" si="15"/>
        <v>80000</v>
      </c>
      <c r="I159" s="44">
        <v>1</v>
      </c>
      <c r="J159" s="31" t="s">
        <v>293</v>
      </c>
      <c r="K159" s="58" t="s">
        <v>300</v>
      </c>
      <c r="L159" s="46">
        <v>0</v>
      </c>
      <c r="M159" s="31" t="s">
        <v>294</v>
      </c>
      <c r="N159" s="46">
        <f t="shared" si="16"/>
        <v>80</v>
      </c>
      <c r="O159" s="31" t="s">
        <v>294</v>
      </c>
      <c r="P159" s="39" t="s">
        <v>139</v>
      </c>
      <c r="Q159" s="39" t="s">
        <v>139</v>
      </c>
      <c r="R159" s="39" t="s">
        <v>139</v>
      </c>
      <c r="S159" s="39" t="s">
        <v>139</v>
      </c>
      <c r="T159" s="39" t="s">
        <v>139</v>
      </c>
      <c r="U159" s="39" t="s">
        <v>139</v>
      </c>
      <c r="V159" s="39" t="s">
        <v>139</v>
      </c>
      <c r="W159" s="39" t="s">
        <v>139</v>
      </c>
      <c r="X159" s="39" t="s">
        <v>139</v>
      </c>
      <c r="Z159" s="40" t="str">
        <f t="shared" si="10"/>
        <v>EXECUTE [dbo].[PG_CI_UNIDAD_OPERATIVA] 0, 0, 10080, 'RZS - PETROLEOS Y GAS DEL GOLFO', 'RZS - PETROLEOS Y GAS DEL GOLFO', 'RZS - PETR', 80000, 1, 50, ?, 0, 0, 80, 0, '', '', '', '', '', '', '', '', ''</v>
      </c>
      <c r="AK159" t="s">
        <v>285</v>
      </c>
    </row>
    <row r="160" spans="1:37" ht="14.4" hidden="1" x14ac:dyDescent="0.3">
      <c r="A160" s="44">
        <v>81</v>
      </c>
      <c r="B160" s="23">
        <v>0</v>
      </c>
      <c r="C160" s="23">
        <v>0</v>
      </c>
      <c r="D160" s="46">
        <f t="shared" si="11"/>
        <v>10081</v>
      </c>
      <c r="E160" s="65" t="str">
        <f t="shared" si="12"/>
        <v>RZS - PETROLEOS Y GAS DEL NORTE</v>
      </c>
      <c r="F160" s="59" t="str">
        <f t="shared" si="13"/>
        <v>RZS - PETROLEOS Y GAS DEL NORTE</v>
      </c>
      <c r="G160" s="41" t="str">
        <f t="shared" si="14"/>
        <v>RZS - PETR</v>
      </c>
      <c r="H160" s="44">
        <f t="shared" si="15"/>
        <v>81000</v>
      </c>
      <c r="I160" s="44">
        <v>1</v>
      </c>
      <c r="J160" s="31" t="s">
        <v>293</v>
      </c>
      <c r="K160" s="58" t="s">
        <v>300</v>
      </c>
      <c r="L160" s="46">
        <v>0</v>
      </c>
      <c r="M160" s="31" t="s">
        <v>294</v>
      </c>
      <c r="N160" s="46">
        <f t="shared" si="16"/>
        <v>81</v>
      </c>
      <c r="O160" s="31" t="s">
        <v>294</v>
      </c>
      <c r="P160" s="39" t="s">
        <v>139</v>
      </c>
      <c r="Q160" s="39" t="s">
        <v>139</v>
      </c>
      <c r="R160" s="39" t="s">
        <v>139</v>
      </c>
      <c r="S160" s="39" t="s">
        <v>139</v>
      </c>
      <c r="T160" s="39" t="s">
        <v>139</v>
      </c>
      <c r="U160" s="39" t="s">
        <v>139</v>
      </c>
      <c r="V160" s="39" t="s">
        <v>139</v>
      </c>
      <c r="W160" s="39" t="s">
        <v>139</v>
      </c>
      <c r="X160" s="39" t="s">
        <v>139</v>
      </c>
      <c r="Z160" s="40" t="str">
        <f t="shared" si="10"/>
        <v>EXECUTE [dbo].[PG_CI_UNIDAD_OPERATIVA] 0, 0, 10081, 'RZS - PETROLEOS Y GAS DEL NORTE', 'RZS - PETROLEOS Y GAS DEL NORTE', 'RZS - PETR', 81000, 1, 50, ?, 0, 0, 81, 0, '', '', '', '', '', '', '', '', ''</v>
      </c>
      <c r="AK160" t="s">
        <v>286</v>
      </c>
    </row>
    <row r="161" spans="1:37" ht="14.4" hidden="1" x14ac:dyDescent="0.3">
      <c r="A161" s="44">
        <v>82</v>
      </c>
      <c r="B161" s="23">
        <v>0</v>
      </c>
      <c r="C161" s="23">
        <v>0</v>
      </c>
      <c r="D161" s="46">
        <f t="shared" si="11"/>
        <v>10082</v>
      </c>
      <c r="E161" s="65" t="str">
        <f t="shared" si="12"/>
        <v>RZS - TOMAS RAUL ZARAGOZA IBARRA</v>
      </c>
      <c r="F161" s="59" t="str">
        <f t="shared" si="13"/>
        <v>RZS - TOMAS RAUL ZARAGOZA IBARRA</v>
      </c>
      <c r="G161" s="41" t="str">
        <f t="shared" si="14"/>
        <v>RZS - TOMA</v>
      </c>
      <c r="H161" s="44">
        <f t="shared" si="15"/>
        <v>82000</v>
      </c>
      <c r="I161" s="44">
        <v>1</v>
      </c>
      <c r="J161" s="31" t="s">
        <v>293</v>
      </c>
      <c r="K161" s="58" t="s">
        <v>300</v>
      </c>
      <c r="L161" s="46">
        <v>0</v>
      </c>
      <c r="M161" s="31" t="s">
        <v>294</v>
      </c>
      <c r="N161" s="46">
        <f t="shared" si="16"/>
        <v>82</v>
      </c>
      <c r="O161" s="31" t="s">
        <v>294</v>
      </c>
      <c r="P161" s="39" t="s">
        <v>139</v>
      </c>
      <c r="Q161" s="39" t="s">
        <v>139</v>
      </c>
      <c r="R161" s="39" t="s">
        <v>139</v>
      </c>
      <c r="S161" s="39" t="s">
        <v>139</v>
      </c>
      <c r="T161" s="39" t="s">
        <v>139</v>
      </c>
      <c r="U161" s="39" t="s">
        <v>139</v>
      </c>
      <c r="V161" s="39" t="s">
        <v>139</v>
      </c>
      <c r="W161" s="39" t="s">
        <v>139</v>
      </c>
      <c r="X161" s="39" t="s">
        <v>139</v>
      </c>
      <c r="Z161" s="40" t="str">
        <f t="shared" si="10"/>
        <v>EXECUTE [dbo].[PG_CI_UNIDAD_OPERATIVA] 0, 0, 10082, 'RZS - TOMAS RAUL ZARAGOZA IBARRA', 'RZS - TOMAS RAUL ZARAGOZA IBARRA', 'RZS - TOMA', 82000, 1, 50, ?, 0, 0, 82, 0, '', '', '', '', '', '', '', '', ''</v>
      </c>
      <c r="AK161" t="s">
        <v>287</v>
      </c>
    </row>
    <row r="162" spans="1:37" ht="14.4" hidden="1" x14ac:dyDescent="0.3">
      <c r="A162" s="44">
        <v>83</v>
      </c>
      <c r="B162" s="23">
        <v>0</v>
      </c>
      <c r="C162" s="23">
        <v>0</v>
      </c>
      <c r="D162" s="46">
        <f t="shared" si="11"/>
        <v>10083</v>
      </c>
      <c r="E162" s="65" t="str">
        <f t="shared" si="12"/>
        <v>RZS - TOMAS RAUL ZARAGOZA IBARRA</v>
      </c>
      <c r="F162" s="59" t="str">
        <f t="shared" si="13"/>
        <v>RZS - TOMAS RAUL ZARAGOZA IBARRA</v>
      </c>
      <c r="G162" s="41" t="str">
        <f t="shared" si="14"/>
        <v>RZS - TOMA</v>
      </c>
      <c r="H162" s="44">
        <f t="shared" si="15"/>
        <v>83000</v>
      </c>
      <c r="I162" s="44">
        <v>1</v>
      </c>
      <c r="J162" s="31" t="s">
        <v>293</v>
      </c>
      <c r="K162" s="58" t="s">
        <v>300</v>
      </c>
      <c r="L162" s="46">
        <v>0</v>
      </c>
      <c r="M162" s="31" t="s">
        <v>294</v>
      </c>
      <c r="N162" s="46">
        <f t="shared" si="16"/>
        <v>83</v>
      </c>
      <c r="O162" s="31" t="s">
        <v>294</v>
      </c>
      <c r="P162" s="39" t="s">
        <v>139</v>
      </c>
      <c r="Q162" s="39" t="s">
        <v>139</v>
      </c>
      <c r="R162" s="39" t="s">
        <v>139</v>
      </c>
      <c r="S162" s="39" t="s">
        <v>139</v>
      </c>
      <c r="T162" s="39" t="s">
        <v>139</v>
      </c>
      <c r="U162" s="39" t="s">
        <v>139</v>
      </c>
      <c r="V162" s="39" t="s">
        <v>139</v>
      </c>
      <c r="W162" s="39" t="s">
        <v>139</v>
      </c>
      <c r="X162" s="39" t="s">
        <v>139</v>
      </c>
      <c r="Z162" s="40" t="str">
        <f t="shared" si="10"/>
        <v>EXECUTE [dbo].[PG_CI_UNIDAD_OPERATIVA] 0, 0, 10083, 'RZS - TOMAS RAUL ZARAGOZA IBARRA', 'RZS - TOMAS RAUL ZARAGOZA IBARRA', 'RZS - TOMA', 83000, 1, 50, ?, 0, 0, 83, 0, '', '', '', '', '', '', '', '', ''</v>
      </c>
      <c r="AK162" t="s">
        <v>287</v>
      </c>
    </row>
    <row r="163" spans="1:37" ht="14.4" hidden="1" x14ac:dyDescent="0.3">
      <c r="A163" s="44">
        <v>85</v>
      </c>
      <c r="B163" s="23">
        <v>0</v>
      </c>
      <c r="C163" s="23">
        <v>0</v>
      </c>
      <c r="D163" s="46">
        <f t="shared" si="11"/>
        <v>10085</v>
      </c>
      <c r="E163" s="65" t="str">
        <f t="shared" si="12"/>
        <v>RZS - CIA IMP DE GAS Y PETROLEO DE TIJUANA</v>
      </c>
      <c r="F163" s="59" t="str">
        <f t="shared" si="13"/>
        <v>RZS - CIA IMP DE GAS Y PETROLEO DE TIJUANA</v>
      </c>
      <c r="G163" s="41" t="str">
        <f t="shared" si="14"/>
        <v xml:space="preserve">RZS - CIA </v>
      </c>
      <c r="H163" s="44">
        <f t="shared" si="15"/>
        <v>85000</v>
      </c>
      <c r="I163" s="44">
        <v>1</v>
      </c>
      <c r="J163" s="31" t="s">
        <v>293</v>
      </c>
      <c r="K163" s="58" t="s">
        <v>300</v>
      </c>
      <c r="L163" s="46">
        <v>0</v>
      </c>
      <c r="M163" s="31" t="s">
        <v>294</v>
      </c>
      <c r="N163" s="46">
        <f t="shared" si="16"/>
        <v>85</v>
      </c>
      <c r="O163" s="31" t="s">
        <v>294</v>
      </c>
      <c r="P163" s="39" t="s">
        <v>139</v>
      </c>
      <c r="Q163" s="39" t="s">
        <v>139</v>
      </c>
      <c r="R163" s="39" t="s">
        <v>139</v>
      </c>
      <c r="S163" s="39" t="s">
        <v>139</v>
      </c>
      <c r="T163" s="39" t="s">
        <v>139</v>
      </c>
      <c r="U163" s="39" t="s">
        <v>139</v>
      </c>
      <c r="V163" s="39" t="s">
        <v>139</v>
      </c>
      <c r="W163" s="39" t="s">
        <v>139</v>
      </c>
      <c r="X163" s="39" t="s">
        <v>139</v>
      </c>
      <c r="Z163" s="40" t="str">
        <f t="shared" si="10"/>
        <v>EXECUTE [dbo].[PG_CI_UNIDAD_OPERATIVA] 0, 0, 10085, 'RZS - CIA IMP DE GAS Y PETROLEO DE TIJUANA', 'RZS - CIA IMP DE GAS Y PETROLEO DE TIJUANA', 'RZS - CIA ', 85000, 1, 50, ?, 0, 0, 85, 0, '', '', '', '', '', '', '', '', ''</v>
      </c>
      <c r="AK163" t="s">
        <v>288</v>
      </c>
    </row>
    <row r="164" spans="1:37" ht="14.4" hidden="1" x14ac:dyDescent="0.3">
      <c r="A164" s="44">
        <v>87</v>
      </c>
      <c r="B164" s="23">
        <v>0</v>
      </c>
      <c r="C164" s="23">
        <v>0</v>
      </c>
      <c r="D164" s="46">
        <f t="shared" si="11"/>
        <v>10087</v>
      </c>
      <c r="E164" s="65" t="str">
        <f t="shared" si="12"/>
        <v>RZS - TAO</v>
      </c>
      <c r="F164" s="59" t="str">
        <f t="shared" si="13"/>
        <v>RZS - TAO</v>
      </c>
      <c r="G164" s="41" t="str">
        <f t="shared" si="14"/>
        <v>RZS - TAO</v>
      </c>
      <c r="H164" s="44">
        <f t="shared" si="15"/>
        <v>87000</v>
      </c>
      <c r="I164" s="44">
        <v>1</v>
      </c>
      <c r="J164" s="31" t="s">
        <v>293</v>
      </c>
      <c r="K164" s="58" t="s">
        <v>300</v>
      </c>
      <c r="L164" s="46">
        <v>0</v>
      </c>
      <c r="M164" s="31" t="s">
        <v>294</v>
      </c>
      <c r="N164" s="46">
        <f t="shared" si="16"/>
        <v>87</v>
      </c>
      <c r="O164" s="31" t="s">
        <v>294</v>
      </c>
      <c r="P164" s="39" t="s">
        <v>139</v>
      </c>
      <c r="Q164" s="39" t="s">
        <v>139</v>
      </c>
      <c r="R164" s="39" t="s">
        <v>139</v>
      </c>
      <c r="S164" s="39" t="s">
        <v>139</v>
      </c>
      <c r="T164" s="39" t="s">
        <v>139</v>
      </c>
      <c r="U164" s="39" t="s">
        <v>139</v>
      </c>
      <c r="V164" s="39" t="s">
        <v>139</v>
      </c>
      <c r="W164" s="39" t="s">
        <v>139</v>
      </c>
      <c r="X164" s="39" t="s">
        <v>139</v>
      </c>
      <c r="Z164" s="40" t="str">
        <f t="shared" si="10"/>
        <v>EXECUTE [dbo].[PG_CI_UNIDAD_OPERATIVA] 0, 0, 10087, 'RZS - TAO', 'RZS - TAO', 'RZS - TAO', 87000, 1, 50, ?, 0, 0, 87, 0, '', '', '', '', '', '', '', '', ''</v>
      </c>
      <c r="AK164" t="s">
        <v>289</v>
      </c>
    </row>
    <row r="165" spans="1:37" ht="14.4" hidden="1" x14ac:dyDescent="0.3">
      <c r="A165" s="44">
        <v>88</v>
      </c>
      <c r="B165" s="23">
        <v>0</v>
      </c>
      <c r="C165" s="23">
        <v>0</v>
      </c>
      <c r="D165" s="46">
        <f t="shared" si="11"/>
        <v>10088</v>
      </c>
      <c r="E165" s="65" t="str">
        <f t="shared" si="12"/>
        <v>RZS - COMPAÑIA IMPORTADORA DE GAS Y PETROLEO</v>
      </c>
      <c r="F165" s="59" t="str">
        <f t="shared" si="13"/>
        <v>RZS - COMPAÑIA IMPORTADORA DE GAS Y PETROLEO</v>
      </c>
      <c r="G165" s="41" t="str">
        <f t="shared" si="14"/>
        <v>RZS - COMP</v>
      </c>
      <c r="H165" s="44">
        <f t="shared" si="15"/>
        <v>88000</v>
      </c>
      <c r="I165" s="44">
        <v>1</v>
      </c>
      <c r="J165" s="31" t="s">
        <v>293</v>
      </c>
      <c r="K165" s="58" t="s">
        <v>300</v>
      </c>
      <c r="L165" s="46">
        <v>0</v>
      </c>
      <c r="M165" s="31" t="s">
        <v>294</v>
      </c>
      <c r="N165" s="46">
        <f t="shared" si="16"/>
        <v>88</v>
      </c>
      <c r="O165" s="31" t="s">
        <v>294</v>
      </c>
      <c r="P165" s="39" t="s">
        <v>139</v>
      </c>
      <c r="Q165" s="39" t="s">
        <v>139</v>
      </c>
      <c r="R165" s="39" t="s">
        <v>139</v>
      </c>
      <c r="S165" s="39" t="s">
        <v>139</v>
      </c>
      <c r="T165" s="39" t="s">
        <v>139</v>
      </c>
      <c r="U165" s="39" t="s">
        <v>139</v>
      </c>
      <c r="V165" s="39" t="s">
        <v>139</v>
      </c>
      <c r="W165" s="39" t="s">
        <v>139</v>
      </c>
      <c r="X165" s="39" t="s">
        <v>139</v>
      </c>
      <c r="Z165" s="40" t="str">
        <f t="shared" si="10"/>
        <v>EXECUTE [dbo].[PG_CI_UNIDAD_OPERATIVA] 0, 0, 10088, 'RZS - COMPAÑIA IMPORTADORA DE GAS Y PETROLEO', 'RZS - COMPAÑIA IMPORTADORA DE GAS Y PETROLEO', 'RZS - COMP', 88000, 1, 50, ?, 0, 0, 88, 0, '', '', '', '', '', '', '', '', ''</v>
      </c>
      <c r="AK165" t="s">
        <v>290</v>
      </c>
    </row>
    <row r="166" spans="1:37" ht="14.4" x14ac:dyDescent="0.3">
      <c r="A166" s="44">
        <v>90</v>
      </c>
      <c r="B166" s="23">
        <v>0</v>
      </c>
      <c r="C166" s="23">
        <v>0</v>
      </c>
      <c r="D166" s="66">
        <f t="shared" si="11"/>
        <v>10090</v>
      </c>
      <c r="E166" s="67" t="str">
        <f t="shared" si="12"/>
        <v>RZS - TOMZA DE SINALOA (GAS)</v>
      </c>
      <c r="F166" s="59" t="str">
        <f t="shared" si="13"/>
        <v>RZS - TOMZA DE SINALOA (GAS)</v>
      </c>
      <c r="G166" s="41" t="str">
        <f t="shared" si="14"/>
        <v>RZS - TOMZ</v>
      </c>
      <c r="H166" s="44">
        <f t="shared" si="15"/>
        <v>90000</v>
      </c>
      <c r="I166" s="44">
        <v>1</v>
      </c>
      <c r="J166" s="31" t="s">
        <v>293</v>
      </c>
      <c r="K166" s="58" t="s">
        <v>293</v>
      </c>
      <c r="L166" s="46">
        <v>0</v>
      </c>
      <c r="M166" s="31" t="s">
        <v>294</v>
      </c>
      <c r="N166" s="46">
        <f t="shared" si="16"/>
        <v>90</v>
      </c>
      <c r="O166" s="31" t="s">
        <v>294</v>
      </c>
      <c r="P166" s="39" t="s">
        <v>139</v>
      </c>
      <c r="Q166" s="39" t="s">
        <v>139</v>
      </c>
      <c r="R166" s="39" t="s">
        <v>139</v>
      </c>
      <c r="S166" s="39" t="s">
        <v>139</v>
      </c>
      <c r="T166" s="39" t="s">
        <v>139</v>
      </c>
      <c r="U166" s="39" t="s">
        <v>139</v>
      </c>
      <c r="V166" s="39" t="s">
        <v>139</v>
      </c>
      <c r="W166" s="39" t="s">
        <v>139</v>
      </c>
      <c r="X166" s="39" t="s">
        <v>139</v>
      </c>
      <c r="Z166" s="40" t="str">
        <f t="shared" si="10"/>
        <v>EXECUTE [dbo].[PG_CI_UNIDAD_OPERATIVA] 0, 0, 10090, 'RZS - TOMZA DE SINALOA (GAS)', 'RZS - TOMZA DE SINALOA (GAS)', 'RZS - TOMZ', 90000, 1, 50, 50, 0, 0, 90, 0, '', '', '', '', '', '', '', '', ''</v>
      </c>
      <c r="AK166" t="s">
        <v>291</v>
      </c>
    </row>
    <row r="167" spans="1:37" ht="14.4" hidden="1" x14ac:dyDescent="0.3">
      <c r="A167" s="44">
        <v>91</v>
      </c>
      <c r="B167" s="23">
        <v>0</v>
      </c>
      <c r="C167" s="23">
        <v>0</v>
      </c>
      <c r="D167" s="46">
        <f t="shared" si="11"/>
        <v>10091</v>
      </c>
      <c r="E167" s="65" t="str">
        <f t="shared" si="12"/>
        <v>RZS - TITANIUM (GAS)</v>
      </c>
      <c r="F167" s="59" t="str">
        <f t="shared" si="13"/>
        <v>RZS - TITANIUM (GAS)</v>
      </c>
      <c r="G167" s="41" t="str">
        <f t="shared" si="14"/>
        <v>RZS - TITA</v>
      </c>
      <c r="H167" s="44">
        <f t="shared" si="15"/>
        <v>91000</v>
      </c>
      <c r="I167" s="44">
        <v>1</v>
      </c>
      <c r="J167" s="31" t="s">
        <v>293</v>
      </c>
      <c r="K167" s="58" t="s">
        <v>98</v>
      </c>
      <c r="L167" s="46">
        <v>0</v>
      </c>
      <c r="M167" s="31" t="s">
        <v>294</v>
      </c>
      <c r="N167" s="46">
        <f t="shared" si="16"/>
        <v>91</v>
      </c>
      <c r="O167" s="31" t="s">
        <v>294</v>
      </c>
      <c r="P167" s="39" t="s">
        <v>139</v>
      </c>
      <c r="Q167" s="39" t="s">
        <v>139</v>
      </c>
      <c r="R167" s="39" t="s">
        <v>139</v>
      </c>
      <c r="S167" s="39" t="s">
        <v>139</v>
      </c>
      <c r="T167" s="39" t="s">
        <v>139</v>
      </c>
      <c r="U167" s="39" t="s">
        <v>139</v>
      </c>
      <c r="V167" s="39" t="s">
        <v>139</v>
      </c>
      <c r="W167" s="39" t="s">
        <v>139</v>
      </c>
      <c r="X167" s="39" t="s">
        <v>139</v>
      </c>
      <c r="Z167" s="40" t="str">
        <f t="shared" si="10"/>
        <v>EXECUTE [dbo].[PG_CI_UNIDAD_OPERATIVA] 0, 0, 10091, 'RZS - TITANIUM (GAS)', 'RZS - TITANIUM (GAS)', 'RZS - TITA', 91000, 1, 50, X, 0, 0, 91, 0, '', '', '', '', '', '', '', '', ''</v>
      </c>
      <c r="AK167" t="s">
        <v>225</v>
      </c>
    </row>
    <row r="168" spans="1:37" ht="14.4" hidden="1" x14ac:dyDescent="0.3">
      <c r="A168" s="44">
        <v>92</v>
      </c>
      <c r="B168" s="23">
        <v>0</v>
      </c>
      <c r="C168" s="23">
        <v>0</v>
      </c>
      <c r="D168" s="46">
        <f t="shared" si="11"/>
        <v>10092</v>
      </c>
      <c r="E168" s="65" t="str">
        <f t="shared" si="12"/>
        <v>RZS - HELITOMZA</v>
      </c>
      <c r="F168" s="59" t="str">
        <f t="shared" si="13"/>
        <v>RZS - HELITOMZA</v>
      </c>
      <c r="G168" s="41" t="str">
        <f t="shared" si="14"/>
        <v>RZS - HELI</v>
      </c>
      <c r="H168" s="44">
        <f t="shared" si="15"/>
        <v>92000</v>
      </c>
      <c r="I168" s="44">
        <v>1</v>
      </c>
      <c r="J168" s="31" t="s">
        <v>293</v>
      </c>
      <c r="K168" s="58" t="s">
        <v>300</v>
      </c>
      <c r="L168" s="46">
        <v>0</v>
      </c>
      <c r="M168" s="31" t="s">
        <v>294</v>
      </c>
      <c r="N168" s="46">
        <f t="shared" si="16"/>
        <v>92</v>
      </c>
      <c r="O168" s="31" t="s">
        <v>294</v>
      </c>
      <c r="P168" s="39" t="s">
        <v>139</v>
      </c>
      <c r="Q168" s="39" t="s">
        <v>139</v>
      </c>
      <c r="R168" s="39" t="s">
        <v>139</v>
      </c>
      <c r="S168" s="39" t="s">
        <v>139</v>
      </c>
      <c r="T168" s="39" t="s">
        <v>139</v>
      </c>
      <c r="U168" s="39" t="s">
        <v>139</v>
      </c>
      <c r="V168" s="39" t="s">
        <v>139</v>
      </c>
      <c r="W168" s="39" t="s">
        <v>139</v>
      </c>
      <c r="X168" s="39" t="s">
        <v>139</v>
      </c>
      <c r="Z168" s="40" t="str">
        <f t="shared" si="10"/>
        <v>EXECUTE [dbo].[PG_CI_UNIDAD_OPERATIVA] 0, 0, 10092, 'RZS - HELITOMZA', 'RZS - HELITOMZA', 'RZS - HELI', 92000, 1, 50, ?, 0, 0, 92, 0, '', '', '', '', '', '', '', '', ''</v>
      </c>
      <c r="AK168" t="s">
        <v>292</v>
      </c>
    </row>
    <row r="169" spans="1:37" s="47" customFormat="1" hidden="1" x14ac:dyDescent="0.3">
      <c r="B169" s="48"/>
      <c r="C169" s="48"/>
      <c r="D169" s="49"/>
      <c r="G169" s="50"/>
      <c r="H169" s="48"/>
      <c r="I169" s="52"/>
      <c r="J169" s="52"/>
      <c r="K169" s="58"/>
      <c r="L169" s="52"/>
      <c r="M169" s="52"/>
      <c r="N169" s="52"/>
      <c r="O169" s="52"/>
      <c r="P169" s="52"/>
      <c r="Q169" s="52"/>
      <c r="R169" s="51"/>
      <c r="S169" s="51"/>
      <c r="V169" s="51"/>
    </row>
    <row r="170" spans="1:37" hidden="1" x14ac:dyDescent="0.3"/>
    <row r="171" spans="1:37" hidden="1" x14ac:dyDescent="0.3"/>
  </sheetData>
  <autoFilter ref="A1:Z171">
    <filterColumn colId="9">
      <filters>
        <filter val="50"/>
      </filters>
    </filterColumn>
    <filterColumn colId="10">
      <filters>
        <filter val="10"/>
        <filter val="20"/>
        <filter val="30"/>
        <filter val="40"/>
        <filter val="50"/>
        <filter val="60"/>
        <filter val="70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S31"/>
  <sheetViews>
    <sheetView workbookViewId="0">
      <selection activeCell="G28" sqref="G28"/>
    </sheetView>
  </sheetViews>
  <sheetFormatPr baseColWidth="10" defaultRowHeight="14.4" x14ac:dyDescent="0.3"/>
  <cols>
    <col min="2" max="2" width="19.6640625" bestFit="1" customWidth="1"/>
    <col min="3" max="3" width="12.109375" bestFit="1" customWidth="1"/>
    <col min="7" max="7" width="18.44140625" bestFit="1" customWidth="1"/>
    <col min="8" max="8" width="12.109375" bestFit="1" customWidth="1"/>
  </cols>
  <sheetData>
    <row r="1" spans="1:19" ht="23.4" x14ac:dyDescent="0.3">
      <c r="A1" s="1" t="s">
        <v>105</v>
      </c>
      <c r="B1" s="2"/>
      <c r="C1" s="3"/>
      <c r="D1" s="4"/>
      <c r="E1" s="5"/>
      <c r="F1" s="32"/>
      <c r="G1" s="33"/>
      <c r="H1" s="34"/>
      <c r="I1" s="35"/>
      <c r="J1" s="5"/>
      <c r="K1" s="32"/>
      <c r="L1" s="33"/>
      <c r="M1" s="34"/>
      <c r="N1" s="35"/>
      <c r="O1" s="5"/>
      <c r="P1" s="1" t="s">
        <v>93</v>
      </c>
      <c r="Q1" s="2"/>
      <c r="R1" s="3"/>
      <c r="S1" s="4"/>
    </row>
    <row r="2" spans="1:19" x14ac:dyDescent="0.3">
      <c r="A2" s="6"/>
      <c r="B2" s="6"/>
      <c r="C2" s="6"/>
      <c r="D2" s="7"/>
      <c r="E2" s="6"/>
      <c r="F2" s="6"/>
      <c r="G2" s="6"/>
      <c r="H2" s="6"/>
      <c r="I2" s="7"/>
      <c r="J2" s="6"/>
      <c r="K2" s="6"/>
      <c r="L2" s="6"/>
      <c r="M2" s="6"/>
      <c r="N2" s="7"/>
      <c r="O2" s="6"/>
      <c r="P2" s="6"/>
      <c r="Q2" s="6"/>
      <c r="R2" s="6"/>
      <c r="S2" s="7"/>
    </row>
    <row r="3" spans="1:19" x14ac:dyDescent="0.3">
      <c r="A3" s="8" t="s">
        <v>94</v>
      </c>
      <c r="B3" s="8" t="s">
        <v>95</v>
      </c>
      <c r="C3" s="8" t="s">
        <v>96</v>
      </c>
      <c r="D3" s="9" t="s">
        <v>97</v>
      </c>
      <c r="E3" s="6"/>
      <c r="F3" s="8"/>
      <c r="G3" s="8"/>
      <c r="H3" s="8"/>
      <c r="I3" s="9"/>
      <c r="J3" s="6"/>
      <c r="K3" s="8"/>
      <c r="L3" s="8"/>
      <c r="M3" s="8"/>
      <c r="N3" s="9"/>
      <c r="O3" s="6"/>
      <c r="P3" s="8" t="s">
        <v>94</v>
      </c>
      <c r="Q3" s="8" t="s">
        <v>95</v>
      </c>
      <c r="R3" s="8" t="s">
        <v>96</v>
      </c>
      <c r="S3" s="9" t="s">
        <v>97</v>
      </c>
    </row>
    <row r="4" spans="1:19" x14ac:dyDescent="0.3">
      <c r="A4" s="10" t="s">
        <v>98</v>
      </c>
      <c r="B4" s="11" t="s">
        <v>103</v>
      </c>
      <c r="C4" s="11" t="s">
        <v>99</v>
      </c>
      <c r="D4" s="7"/>
      <c r="E4" s="6"/>
      <c r="F4" s="10"/>
      <c r="G4" s="11"/>
      <c r="H4" s="11"/>
      <c r="I4" s="7"/>
      <c r="J4" s="6"/>
      <c r="K4" s="10"/>
      <c r="L4" s="11"/>
      <c r="M4" s="11"/>
      <c r="N4" s="7"/>
      <c r="O4" s="6"/>
      <c r="P4" s="10" t="s">
        <v>98</v>
      </c>
      <c r="Q4" s="11" t="s">
        <v>100</v>
      </c>
      <c r="R4" s="11" t="s">
        <v>99</v>
      </c>
      <c r="S4" s="7"/>
    </row>
    <row r="5" spans="1:19" x14ac:dyDescent="0.3">
      <c r="A5" s="10"/>
      <c r="B5" s="11" t="s">
        <v>20</v>
      </c>
      <c r="C5" s="11" t="s">
        <v>101</v>
      </c>
      <c r="D5" s="7"/>
      <c r="E5" s="6"/>
      <c r="F5" s="10"/>
      <c r="G5" s="11"/>
      <c r="H5" s="11"/>
      <c r="I5" s="7"/>
      <c r="J5" s="6"/>
      <c r="K5" s="10"/>
      <c r="L5" s="11"/>
      <c r="M5" s="11"/>
      <c r="N5" s="7"/>
      <c r="O5" s="6"/>
      <c r="P5" s="10"/>
      <c r="Q5" s="11" t="s">
        <v>102</v>
      </c>
      <c r="R5" s="11" t="s">
        <v>101</v>
      </c>
      <c r="S5" s="7"/>
    </row>
    <row r="6" spans="1:19" x14ac:dyDescent="0.3">
      <c r="A6" s="10"/>
      <c r="B6" s="13" t="s">
        <v>23</v>
      </c>
      <c r="C6" s="15" t="s">
        <v>121</v>
      </c>
      <c r="D6" s="7"/>
      <c r="E6" s="6"/>
      <c r="F6" s="10"/>
      <c r="G6" s="11"/>
      <c r="H6" s="11"/>
      <c r="I6" s="7"/>
      <c r="J6" s="6"/>
      <c r="K6" s="10"/>
      <c r="L6" s="11"/>
      <c r="M6" s="11"/>
      <c r="N6" s="7"/>
      <c r="O6" s="6"/>
      <c r="P6" s="6"/>
      <c r="Q6" s="6"/>
      <c r="R6" s="6"/>
      <c r="S6" s="6"/>
    </row>
    <row r="7" spans="1:19" x14ac:dyDescent="0.3">
      <c r="A7" s="12"/>
      <c r="B7" s="11" t="s">
        <v>21</v>
      </c>
      <c r="C7" s="11" t="s">
        <v>104</v>
      </c>
      <c r="D7" s="7"/>
      <c r="E7" s="6"/>
      <c r="F7" s="12"/>
      <c r="G7" s="13"/>
      <c r="H7" s="13"/>
      <c r="I7" s="7"/>
      <c r="J7" s="6"/>
      <c r="K7" s="12"/>
      <c r="L7" s="13"/>
      <c r="M7" s="13"/>
      <c r="N7" s="7"/>
      <c r="O7" s="6"/>
      <c r="P7" s="6"/>
      <c r="Q7" s="6"/>
      <c r="R7" s="6"/>
      <c r="S7" s="6"/>
    </row>
    <row r="8" spans="1:19" x14ac:dyDescent="0.3">
      <c r="A8" s="14"/>
      <c r="B8" s="13" t="s">
        <v>22</v>
      </c>
      <c r="C8" s="13" t="s">
        <v>99</v>
      </c>
      <c r="D8" s="7"/>
      <c r="E8" s="6"/>
      <c r="F8" s="14"/>
      <c r="G8" s="13"/>
      <c r="H8" s="15"/>
      <c r="I8" s="7"/>
      <c r="J8" s="6"/>
      <c r="K8" s="14"/>
      <c r="L8" s="13"/>
      <c r="M8" s="15"/>
      <c r="N8" s="7"/>
      <c r="O8" s="6"/>
      <c r="P8" s="6"/>
      <c r="Q8" s="6"/>
      <c r="R8" s="6"/>
      <c r="S8" s="6"/>
    </row>
    <row r="9" spans="1:19" x14ac:dyDescent="0.3">
      <c r="A9" s="14"/>
      <c r="B9" s="13" t="s">
        <v>24</v>
      </c>
      <c r="C9" s="15" t="s">
        <v>99</v>
      </c>
      <c r="D9" s="7"/>
      <c r="E9" s="6"/>
      <c r="F9" s="14"/>
      <c r="G9" s="13"/>
      <c r="H9" s="15"/>
      <c r="I9" s="7"/>
      <c r="J9" s="6"/>
      <c r="K9" s="14"/>
      <c r="L9" s="13"/>
      <c r="M9" s="15"/>
      <c r="N9" s="7"/>
      <c r="O9" s="6"/>
      <c r="P9" s="6"/>
      <c r="Q9" s="6"/>
      <c r="R9" s="6"/>
      <c r="S9" s="6"/>
    </row>
    <row r="10" spans="1:19" x14ac:dyDescent="0.3">
      <c r="A10" s="12"/>
      <c r="B10" s="16" t="s">
        <v>122</v>
      </c>
      <c r="C10" s="37" t="s">
        <v>99</v>
      </c>
      <c r="D10" s="7"/>
      <c r="E10" s="6"/>
      <c r="F10" s="12"/>
      <c r="G10" s="13"/>
      <c r="H10" s="15"/>
      <c r="I10" s="7"/>
      <c r="J10" s="6"/>
      <c r="K10" s="12"/>
      <c r="L10" s="13"/>
      <c r="M10" s="15"/>
      <c r="N10" s="7"/>
      <c r="O10" s="6"/>
      <c r="P10" s="6"/>
      <c r="Q10" s="6"/>
      <c r="R10" s="6"/>
      <c r="S10" s="6"/>
    </row>
    <row r="11" spans="1:19" x14ac:dyDescent="0.3">
      <c r="A11" s="12"/>
      <c r="B11" s="37" t="s">
        <v>106</v>
      </c>
      <c r="C11" s="37" t="s">
        <v>99</v>
      </c>
      <c r="D11" s="17"/>
      <c r="E11" s="6"/>
      <c r="F11" s="12"/>
      <c r="G11" s="16"/>
      <c r="H11" s="15"/>
      <c r="I11" s="17"/>
      <c r="J11" s="6"/>
      <c r="K11" s="12"/>
      <c r="L11" s="16"/>
      <c r="M11" s="15"/>
      <c r="N11" s="17"/>
      <c r="O11" s="6"/>
      <c r="P11" s="6"/>
      <c r="Q11" s="6"/>
      <c r="R11" s="6"/>
      <c r="S11" s="6"/>
    </row>
    <row r="12" spans="1:19" x14ac:dyDescent="0.3">
      <c r="A12" s="12"/>
      <c r="B12" s="16" t="s">
        <v>92</v>
      </c>
      <c r="C12" s="15" t="s">
        <v>99</v>
      </c>
      <c r="D12" s="1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 x14ac:dyDescent="0.3">
      <c r="A13" s="12"/>
      <c r="B13" s="13" t="s">
        <v>116</v>
      </c>
      <c r="C13" s="15" t="s">
        <v>99</v>
      </c>
      <c r="D13" s="7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x14ac:dyDescent="0.3">
      <c r="A14" s="12"/>
      <c r="B14" s="37" t="s">
        <v>117</v>
      </c>
      <c r="C14" s="37" t="s">
        <v>123</v>
      </c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 x14ac:dyDescent="0.3">
      <c r="A15" s="20"/>
      <c r="B15" s="37" t="s">
        <v>118</v>
      </c>
      <c r="C15" s="37" t="s">
        <v>99</v>
      </c>
      <c r="D15" s="7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x14ac:dyDescent="0.3">
      <c r="A16" s="20"/>
      <c r="B16" s="37" t="s">
        <v>119</v>
      </c>
      <c r="C16" s="37" t="s">
        <v>123</v>
      </c>
      <c r="D16" s="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x14ac:dyDescent="0.3">
      <c r="A17" s="20"/>
      <c r="B17" s="37" t="s">
        <v>120</v>
      </c>
      <c r="C17" s="37" t="s">
        <v>99</v>
      </c>
      <c r="D17" s="7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 x14ac:dyDescent="0.3">
      <c r="A18" s="20"/>
      <c r="B18" s="13" t="s">
        <v>124</v>
      </c>
      <c r="C18" s="15" t="s">
        <v>99</v>
      </c>
      <c r="D18" s="7" t="s">
        <v>98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 x14ac:dyDescent="0.3">
      <c r="A19" s="20"/>
      <c r="B19" s="37" t="s">
        <v>125</v>
      </c>
      <c r="C19" s="37" t="s">
        <v>123</v>
      </c>
      <c r="D19" s="7" t="s">
        <v>98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x14ac:dyDescent="0.3">
      <c r="B20" s="18"/>
      <c r="C20" s="19"/>
      <c r="D20" s="37"/>
    </row>
    <row r="21" spans="1:19" x14ac:dyDescent="0.3">
      <c r="B21" s="37"/>
      <c r="C21" s="37"/>
      <c r="D21" s="37"/>
    </row>
    <row r="22" spans="1:19" x14ac:dyDescent="0.3">
      <c r="B22" s="37"/>
      <c r="C22" s="37"/>
      <c r="D22" s="37"/>
    </row>
    <row r="23" spans="1:19" x14ac:dyDescent="0.3">
      <c r="B23" s="37"/>
      <c r="C23" s="37"/>
      <c r="D23" s="37"/>
    </row>
    <row r="24" spans="1:19" x14ac:dyDescent="0.3">
      <c r="B24" s="37"/>
      <c r="C24" s="37"/>
      <c r="D24" s="37"/>
    </row>
    <row r="25" spans="1:19" x14ac:dyDescent="0.3">
      <c r="B25" s="37"/>
      <c r="C25" s="37"/>
      <c r="D25" s="37"/>
    </row>
    <row r="26" spans="1:19" x14ac:dyDescent="0.3">
      <c r="B26" s="37"/>
      <c r="C26" s="37"/>
      <c r="D26" s="37"/>
    </row>
    <row r="27" spans="1:19" x14ac:dyDescent="0.3">
      <c r="B27" s="37"/>
      <c r="C27" s="37"/>
      <c r="D27" s="37"/>
    </row>
    <row r="28" spans="1:19" x14ac:dyDescent="0.3">
      <c r="B28" s="37"/>
      <c r="C28" s="37"/>
      <c r="D28" s="37"/>
    </row>
    <row r="29" spans="1:19" x14ac:dyDescent="0.3">
      <c r="B29" s="37"/>
      <c r="C29" s="37"/>
      <c r="D29" s="37"/>
    </row>
    <row r="30" spans="1:19" x14ac:dyDescent="0.3">
      <c r="B30" s="36"/>
      <c r="C30" s="36"/>
    </row>
    <row r="31" spans="1:19" x14ac:dyDescent="0.3">
      <c r="B31" s="36"/>
      <c r="C31" s="3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CI_UNIDAD_OPERATIVA</vt:lpstr>
      <vt:lpstr>UNIDAD OPERATIVA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Hinojosa</dc:creator>
  <cp:lastModifiedBy>Hector A. Gonzalez</cp:lastModifiedBy>
  <cp:lastPrinted>2018-10-09T23:26:15Z</cp:lastPrinted>
  <dcterms:created xsi:type="dcterms:W3CDTF">2018-02-08T20:11:10Z</dcterms:created>
  <dcterms:modified xsi:type="dcterms:W3CDTF">2018-11-02T20:24:50Z</dcterms:modified>
</cp:coreProperties>
</file>